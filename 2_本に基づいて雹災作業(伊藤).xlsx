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6部門ファイル(お客様５年)\ＲＭ第一\07_研究開発\2100雹災リスク評価（カープール）\03_被害関数作成\20251009_v2\"/>
    </mc:Choice>
  </mc:AlternateContent>
  <xr:revisionPtr revIDLastSave="0" documentId="13_ncr:1_{54685A13-1D08-4463-94A9-20C94C90E0AC}" xr6:coauthVersionLast="47" xr6:coauthVersionMax="47" xr10:uidLastSave="{00000000-0000-0000-0000-000000000000}"/>
  <bookViews>
    <workbookView xWindow="-120" yWindow="-120" windowWidth="20730" windowHeight="11310" firstSheet="2" activeTab="5" xr2:uid="{7391F58A-7D45-42FB-9000-257DA5CF3684}"/>
  </bookViews>
  <sheets>
    <sheet name="データ" sheetId="4" r:id="rId1"/>
    <sheet name="1_全損率" sheetId="5" r:id="rId2"/>
    <sheet name="2_全半壊率" sheetId="7" r:id="rId3"/>
    <sheet name="3_一部損壊以上率" sheetId="8" r:id="rId4"/>
    <sheet name="4_フラジリティ曲線" sheetId="9" r:id="rId5"/>
    <sheet name="5_損失率曲線" sheetId="10" r:id="rId6"/>
  </sheets>
  <definedNames>
    <definedName name="_xlnm._FilterDatabase" localSheetId="1" hidden="1">'1_全損率'!$A$1:$B$1</definedName>
    <definedName name="_xlnm._FilterDatabase" localSheetId="2" hidden="1">'2_全半壊率'!$A$1:$B$1</definedName>
    <definedName name="_xlnm._FilterDatabase" localSheetId="3" hidden="1">'3_一部損壊以上率'!$A$1:$B$1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0" l="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F3" i="8"/>
  <c r="E3" i="8"/>
  <c r="C3" i="8"/>
  <c r="C4" i="8"/>
  <c r="C5" i="8"/>
  <c r="C2" i="8"/>
  <c r="F3" i="7"/>
  <c r="E3" i="7"/>
  <c r="C3" i="7"/>
  <c r="C4" i="7"/>
  <c r="C2" i="7"/>
  <c r="H3" i="5"/>
  <c r="G3" i="5"/>
  <c r="F3" i="5"/>
  <c r="E3" i="5"/>
  <c r="C3" i="5"/>
  <c r="C4" i="5"/>
  <c r="C2" i="5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F2" i="4"/>
  <c r="G2" i="4"/>
  <c r="E2" i="4"/>
  <c r="H3" i="8" l="1"/>
  <c r="H3" i="7"/>
  <c r="B8" i="10" l="1"/>
  <c r="B10" i="10"/>
  <c r="B12" i="10"/>
  <c r="B14" i="10"/>
  <c r="B16" i="10"/>
  <c r="B18" i="10"/>
  <c r="B20" i="10"/>
  <c r="B22" i="10"/>
  <c r="B24" i="10"/>
  <c r="B26" i="10"/>
  <c r="B28" i="10"/>
  <c r="B30" i="10"/>
  <c r="B32" i="10"/>
  <c r="B34" i="10"/>
  <c r="B36" i="10"/>
  <c r="B38" i="10"/>
  <c r="B40" i="10"/>
  <c r="B42" i="10"/>
  <c r="B44" i="10"/>
  <c r="B46" i="10"/>
  <c r="B48" i="10"/>
  <c r="B50" i="10"/>
  <c r="B52" i="10"/>
  <c r="B54" i="10"/>
  <c r="B56" i="10"/>
  <c r="B58" i="10"/>
  <c r="B60" i="10"/>
  <c r="B62" i="10"/>
  <c r="B64" i="10"/>
  <c r="B66" i="10"/>
  <c r="B68" i="10"/>
  <c r="B70" i="10"/>
  <c r="B72" i="10"/>
  <c r="B74" i="10"/>
  <c r="B6" i="10"/>
  <c r="B2" i="9"/>
  <c r="B7" i="10"/>
  <c r="B11" i="10"/>
  <c r="B15" i="10"/>
  <c r="B19" i="10"/>
  <c r="B23" i="10"/>
  <c r="B27" i="10"/>
  <c r="B31" i="10"/>
  <c r="B35" i="10"/>
  <c r="B39" i="10"/>
  <c r="B43" i="10"/>
  <c r="B47" i="10"/>
  <c r="B51" i="10"/>
  <c r="B55" i="10"/>
  <c r="B59" i="10"/>
  <c r="B63" i="10"/>
  <c r="B67" i="10"/>
  <c r="B71" i="10"/>
  <c r="B75" i="10"/>
  <c r="B9" i="10"/>
  <c r="B13" i="10"/>
  <c r="B17" i="10"/>
  <c r="B21" i="10"/>
  <c r="B25" i="10"/>
  <c r="B29" i="10"/>
  <c r="B33" i="10"/>
  <c r="B37" i="10"/>
  <c r="B41" i="10"/>
  <c r="B45" i="10"/>
  <c r="B49" i="10"/>
  <c r="B53" i="10"/>
  <c r="B57" i="10"/>
  <c r="B61" i="10"/>
  <c r="B65" i="10"/>
  <c r="B69" i="10"/>
  <c r="B73" i="10"/>
  <c r="G3" i="8"/>
  <c r="G3" i="7"/>
  <c r="D7" i="10" l="1"/>
  <c r="H7" i="10" s="1"/>
  <c r="D9" i="10"/>
  <c r="H9" i="10" s="1"/>
  <c r="D11" i="10"/>
  <c r="H11" i="10" s="1"/>
  <c r="D13" i="10"/>
  <c r="H13" i="10" s="1"/>
  <c r="D15" i="10"/>
  <c r="H15" i="10" s="1"/>
  <c r="D17" i="10"/>
  <c r="H17" i="10" s="1"/>
  <c r="D19" i="10"/>
  <c r="H19" i="10" s="1"/>
  <c r="D21" i="10"/>
  <c r="H21" i="10" s="1"/>
  <c r="D23" i="10"/>
  <c r="H23" i="10" s="1"/>
  <c r="D25" i="10"/>
  <c r="H25" i="10" s="1"/>
  <c r="D27" i="10"/>
  <c r="H27" i="10" s="1"/>
  <c r="D29" i="10"/>
  <c r="H29" i="10" s="1"/>
  <c r="D31" i="10"/>
  <c r="H31" i="10" s="1"/>
  <c r="D33" i="10"/>
  <c r="H33" i="10" s="1"/>
  <c r="D35" i="10"/>
  <c r="H35" i="10" s="1"/>
  <c r="D37" i="10"/>
  <c r="H37" i="10" s="1"/>
  <c r="D39" i="10"/>
  <c r="H39" i="10" s="1"/>
  <c r="D41" i="10"/>
  <c r="H41" i="10" s="1"/>
  <c r="D43" i="10"/>
  <c r="H43" i="10" s="1"/>
  <c r="D45" i="10"/>
  <c r="H45" i="10" s="1"/>
  <c r="D47" i="10"/>
  <c r="H47" i="10" s="1"/>
  <c r="D49" i="10"/>
  <c r="H49" i="10" s="1"/>
  <c r="D51" i="10"/>
  <c r="H51" i="10" s="1"/>
  <c r="D53" i="10"/>
  <c r="H53" i="10" s="1"/>
  <c r="D55" i="10"/>
  <c r="H55" i="10" s="1"/>
  <c r="D57" i="10"/>
  <c r="H57" i="10" s="1"/>
  <c r="D59" i="10"/>
  <c r="H59" i="10" s="1"/>
  <c r="D61" i="10"/>
  <c r="H61" i="10" s="1"/>
  <c r="D63" i="10"/>
  <c r="H63" i="10" s="1"/>
  <c r="D65" i="10"/>
  <c r="H65" i="10" s="1"/>
  <c r="D67" i="10"/>
  <c r="H67" i="10" s="1"/>
  <c r="D69" i="10"/>
  <c r="H69" i="10" s="1"/>
  <c r="D71" i="10"/>
  <c r="H71" i="10" s="1"/>
  <c r="D73" i="10"/>
  <c r="H73" i="10" s="1"/>
  <c r="D75" i="10"/>
  <c r="H75" i="10" s="1"/>
  <c r="D10" i="10"/>
  <c r="H10" i="10" s="1"/>
  <c r="D14" i="10"/>
  <c r="H14" i="10" s="1"/>
  <c r="D18" i="10"/>
  <c r="H18" i="10" s="1"/>
  <c r="D22" i="10"/>
  <c r="H22" i="10" s="1"/>
  <c r="D26" i="10"/>
  <c r="H26" i="10" s="1"/>
  <c r="D30" i="10"/>
  <c r="H30" i="10" s="1"/>
  <c r="D34" i="10"/>
  <c r="H34" i="10" s="1"/>
  <c r="D38" i="10"/>
  <c r="H38" i="10" s="1"/>
  <c r="D42" i="10"/>
  <c r="H42" i="10" s="1"/>
  <c r="D46" i="10"/>
  <c r="H46" i="10" s="1"/>
  <c r="D50" i="10"/>
  <c r="H50" i="10" s="1"/>
  <c r="D54" i="10"/>
  <c r="H54" i="10" s="1"/>
  <c r="D58" i="10"/>
  <c r="H58" i="10" s="1"/>
  <c r="D62" i="10"/>
  <c r="H62" i="10" s="1"/>
  <c r="D66" i="10"/>
  <c r="H66" i="10" s="1"/>
  <c r="D70" i="10"/>
  <c r="H70" i="10" s="1"/>
  <c r="D74" i="10"/>
  <c r="H74" i="10" s="1"/>
  <c r="D2" i="9"/>
  <c r="D8" i="10"/>
  <c r="H8" i="10" s="1"/>
  <c r="D12" i="10"/>
  <c r="H12" i="10" s="1"/>
  <c r="D16" i="10"/>
  <c r="H16" i="10" s="1"/>
  <c r="D20" i="10"/>
  <c r="H20" i="10" s="1"/>
  <c r="D24" i="10"/>
  <c r="H24" i="10" s="1"/>
  <c r="D28" i="10"/>
  <c r="H28" i="10" s="1"/>
  <c r="D32" i="10"/>
  <c r="H32" i="10" s="1"/>
  <c r="D36" i="10"/>
  <c r="H36" i="10" s="1"/>
  <c r="D40" i="10"/>
  <c r="H40" i="10" s="1"/>
  <c r="D44" i="10"/>
  <c r="H44" i="10" s="1"/>
  <c r="D48" i="10"/>
  <c r="H48" i="10" s="1"/>
  <c r="D52" i="10"/>
  <c r="H52" i="10" s="1"/>
  <c r="D56" i="10"/>
  <c r="H56" i="10" s="1"/>
  <c r="D60" i="10"/>
  <c r="H60" i="10" s="1"/>
  <c r="D64" i="10"/>
  <c r="H64" i="10" s="1"/>
  <c r="D68" i="10"/>
  <c r="H68" i="10" s="1"/>
  <c r="D72" i="10"/>
  <c r="H72" i="10" s="1"/>
  <c r="D6" i="10"/>
  <c r="H6" i="10" s="1"/>
  <c r="C8" i="10"/>
  <c r="G8" i="10" s="1"/>
  <c r="C10" i="10"/>
  <c r="C12" i="10"/>
  <c r="F12" i="10" s="1"/>
  <c r="C14" i="10"/>
  <c r="G14" i="10" s="1"/>
  <c r="C16" i="10"/>
  <c r="G16" i="10" s="1"/>
  <c r="C18" i="10"/>
  <c r="C20" i="10"/>
  <c r="F20" i="10" s="1"/>
  <c r="C22" i="10"/>
  <c r="G22" i="10" s="1"/>
  <c r="C24" i="10"/>
  <c r="G24" i="10" s="1"/>
  <c r="C26" i="10"/>
  <c r="C28" i="10"/>
  <c r="F28" i="10" s="1"/>
  <c r="C30" i="10"/>
  <c r="G30" i="10" s="1"/>
  <c r="C32" i="10"/>
  <c r="G32" i="10" s="1"/>
  <c r="C34" i="10"/>
  <c r="C36" i="10"/>
  <c r="F36" i="10" s="1"/>
  <c r="C38" i="10"/>
  <c r="G38" i="10" s="1"/>
  <c r="C40" i="10"/>
  <c r="G40" i="10" s="1"/>
  <c r="C42" i="10"/>
  <c r="C44" i="10"/>
  <c r="C46" i="10"/>
  <c r="G46" i="10" s="1"/>
  <c r="C48" i="10"/>
  <c r="G48" i="10" s="1"/>
  <c r="C50" i="10"/>
  <c r="C52" i="10"/>
  <c r="F52" i="10" s="1"/>
  <c r="C54" i="10"/>
  <c r="G54" i="10" s="1"/>
  <c r="C56" i="10"/>
  <c r="G56" i="10" s="1"/>
  <c r="C58" i="10"/>
  <c r="C60" i="10"/>
  <c r="C62" i="10"/>
  <c r="G62" i="10" s="1"/>
  <c r="C64" i="10"/>
  <c r="G64" i="10" s="1"/>
  <c r="C66" i="10"/>
  <c r="C68" i="10"/>
  <c r="F68" i="10" s="1"/>
  <c r="C70" i="10"/>
  <c r="G70" i="10" s="1"/>
  <c r="C72" i="10"/>
  <c r="G72" i="10" s="1"/>
  <c r="C74" i="10"/>
  <c r="C9" i="10"/>
  <c r="G9" i="10" s="1"/>
  <c r="C13" i="10"/>
  <c r="C17" i="10"/>
  <c r="G17" i="10" s="1"/>
  <c r="C21" i="10"/>
  <c r="C25" i="10"/>
  <c r="G25" i="10" s="1"/>
  <c r="C29" i="10"/>
  <c r="C33" i="10"/>
  <c r="G33" i="10" s="1"/>
  <c r="C37" i="10"/>
  <c r="C41" i="10"/>
  <c r="G41" i="10" s="1"/>
  <c r="C45" i="10"/>
  <c r="C49" i="10"/>
  <c r="G49" i="10" s="1"/>
  <c r="C53" i="10"/>
  <c r="C57" i="10"/>
  <c r="G57" i="10" s="1"/>
  <c r="C61" i="10"/>
  <c r="C65" i="10"/>
  <c r="G65" i="10" s="1"/>
  <c r="C69" i="10"/>
  <c r="C73" i="10"/>
  <c r="G73" i="10" s="1"/>
  <c r="C2" i="9"/>
  <c r="C7" i="10"/>
  <c r="G7" i="10" s="1"/>
  <c r="C11" i="10"/>
  <c r="G11" i="10" s="1"/>
  <c r="C15" i="10"/>
  <c r="G15" i="10" s="1"/>
  <c r="C19" i="10"/>
  <c r="G19" i="10" s="1"/>
  <c r="C23" i="10"/>
  <c r="G23" i="10" s="1"/>
  <c r="C27" i="10"/>
  <c r="G27" i="10" s="1"/>
  <c r="C31" i="10"/>
  <c r="G31" i="10" s="1"/>
  <c r="C35" i="10"/>
  <c r="G35" i="10" s="1"/>
  <c r="C39" i="10"/>
  <c r="G39" i="10" s="1"/>
  <c r="C43" i="10"/>
  <c r="G43" i="10" s="1"/>
  <c r="C47" i="10"/>
  <c r="G47" i="10" s="1"/>
  <c r="C51" i="10"/>
  <c r="G51" i="10" s="1"/>
  <c r="C55" i="10"/>
  <c r="G55" i="10" s="1"/>
  <c r="C59" i="10"/>
  <c r="G59" i="10" s="1"/>
  <c r="C63" i="10"/>
  <c r="G63" i="10" s="1"/>
  <c r="C67" i="10"/>
  <c r="G67" i="10" s="1"/>
  <c r="C71" i="10"/>
  <c r="G71" i="10" s="1"/>
  <c r="C75" i="10"/>
  <c r="G75" i="10" s="1"/>
  <c r="C6" i="10"/>
  <c r="G6" i="10" s="1"/>
  <c r="F69" i="10"/>
  <c r="E69" i="10"/>
  <c r="F61" i="10"/>
  <c r="E61" i="10"/>
  <c r="F53" i="10"/>
  <c r="E53" i="10"/>
  <c r="F45" i="10"/>
  <c r="E45" i="10"/>
  <c r="F37" i="10"/>
  <c r="E37" i="10"/>
  <c r="F29" i="10"/>
  <c r="E29" i="10"/>
  <c r="F21" i="10"/>
  <c r="E21" i="10"/>
  <c r="F13" i="10"/>
  <c r="E13" i="10"/>
  <c r="F75" i="10"/>
  <c r="E75" i="10"/>
  <c r="F67" i="10"/>
  <c r="E67" i="10"/>
  <c r="F59" i="10"/>
  <c r="E59" i="10"/>
  <c r="F51" i="10"/>
  <c r="E51" i="10"/>
  <c r="F43" i="10"/>
  <c r="E43" i="10"/>
  <c r="F35" i="10"/>
  <c r="E35" i="10"/>
  <c r="F27" i="10"/>
  <c r="E27" i="10"/>
  <c r="F19" i="10"/>
  <c r="E19" i="10"/>
  <c r="F11" i="10"/>
  <c r="E11" i="10"/>
  <c r="E74" i="10"/>
  <c r="E70" i="10"/>
  <c r="E66" i="10"/>
  <c r="E62" i="10"/>
  <c r="E58" i="10"/>
  <c r="E54" i="10"/>
  <c r="E50" i="10"/>
  <c r="E46" i="10"/>
  <c r="E42" i="10"/>
  <c r="E38" i="10"/>
  <c r="E34" i="10"/>
  <c r="F34" i="10"/>
  <c r="E30" i="10"/>
  <c r="F30" i="10"/>
  <c r="E26" i="10"/>
  <c r="F26" i="10"/>
  <c r="E22" i="10"/>
  <c r="F22" i="10"/>
  <c r="E18" i="10"/>
  <c r="F18" i="10"/>
  <c r="E14" i="10"/>
  <c r="F14" i="10"/>
  <c r="E10" i="10"/>
  <c r="F10" i="10"/>
  <c r="E73" i="10"/>
  <c r="E65" i="10"/>
  <c r="E57" i="10"/>
  <c r="E49" i="10"/>
  <c r="E41" i="10"/>
  <c r="E33" i="10"/>
  <c r="E25" i="10"/>
  <c r="E17" i="10"/>
  <c r="E9" i="10"/>
  <c r="E71" i="10"/>
  <c r="E63" i="10"/>
  <c r="E55" i="10"/>
  <c r="E47" i="10"/>
  <c r="E39" i="10"/>
  <c r="E31" i="10"/>
  <c r="E23" i="10"/>
  <c r="E15" i="10"/>
  <c r="E7" i="10"/>
  <c r="E6" i="10"/>
  <c r="F6" i="10"/>
  <c r="E72" i="10"/>
  <c r="E68" i="10"/>
  <c r="E64" i="10"/>
  <c r="E60" i="10"/>
  <c r="F60" i="10"/>
  <c r="E56" i="10"/>
  <c r="E52" i="10"/>
  <c r="E48" i="10"/>
  <c r="E44" i="10"/>
  <c r="F44" i="10"/>
  <c r="E40" i="10"/>
  <c r="E36" i="10"/>
  <c r="E32" i="10"/>
  <c r="E28" i="10"/>
  <c r="E24" i="10"/>
  <c r="E20" i="10"/>
  <c r="E16" i="10"/>
  <c r="E12" i="10"/>
  <c r="E8" i="10"/>
  <c r="F8" i="10" l="1"/>
  <c r="F16" i="10"/>
  <c r="F24" i="10"/>
  <c r="F32" i="10"/>
  <c r="F40" i="10"/>
  <c r="F48" i="10"/>
  <c r="F56" i="10"/>
  <c r="F64" i="10"/>
  <c r="F72" i="10"/>
  <c r="G74" i="10"/>
  <c r="G66" i="10"/>
  <c r="G58" i="10"/>
  <c r="G50" i="10"/>
  <c r="G42" i="10"/>
  <c r="G34" i="10"/>
  <c r="G26" i="10"/>
  <c r="G18" i="10"/>
  <c r="G10" i="10"/>
  <c r="G69" i="10"/>
  <c r="G61" i="10"/>
  <c r="G53" i="10"/>
  <c r="G45" i="10"/>
  <c r="G37" i="10"/>
  <c r="G29" i="10"/>
  <c r="G21" i="10"/>
  <c r="G13" i="10"/>
  <c r="G68" i="10"/>
  <c r="G60" i="10"/>
  <c r="G52" i="10"/>
  <c r="G44" i="10"/>
  <c r="G36" i="10"/>
  <c r="G28" i="10"/>
  <c r="G20" i="10"/>
  <c r="G12" i="10"/>
  <c r="F7" i="10"/>
  <c r="F15" i="10"/>
  <c r="F23" i="10"/>
  <c r="F31" i="10"/>
  <c r="F39" i="10"/>
  <c r="F47" i="10"/>
  <c r="F55" i="10"/>
  <c r="F63" i="10"/>
  <c r="F71" i="10"/>
  <c r="F9" i="10"/>
  <c r="F17" i="10"/>
  <c r="F25" i="10"/>
  <c r="F33" i="10"/>
  <c r="F41" i="10"/>
  <c r="F49" i="10"/>
  <c r="F57" i="10"/>
  <c r="F65" i="10"/>
  <c r="F73" i="10"/>
  <c r="F38" i="10"/>
  <c r="F42" i="10"/>
  <c r="F46" i="10"/>
  <c r="F50" i="10"/>
  <c r="F54" i="10"/>
  <c r="F58" i="10"/>
  <c r="F62" i="10"/>
  <c r="F66" i="10"/>
  <c r="F70" i="10"/>
  <c r="F74" i="10"/>
  <c r="I6" i="10"/>
</calcChain>
</file>

<file path=xl/sharedStrings.xml><?xml version="1.0" encoding="utf-8"?>
<sst xmlns="http://schemas.openxmlformats.org/spreadsheetml/2006/main" count="52" uniqueCount="23">
  <si>
    <t>基準化変数</t>
    <rPh sb="0" eb="3">
      <t>キジュンカ</t>
    </rPh>
    <rPh sb="3" eb="5">
      <t>ヘンスウ</t>
    </rPh>
    <phoneticPr fontId="18"/>
  </si>
  <si>
    <t>計測震度</t>
    <rPh sb="0" eb="2">
      <t>ケイソク</t>
    </rPh>
    <rPh sb="2" eb="4">
      <t>シンド</t>
    </rPh>
    <phoneticPr fontId="18"/>
  </si>
  <si>
    <t>全壊率</t>
    <rPh sb="0" eb="2">
      <t>ゼンカイ</t>
    </rPh>
    <rPh sb="2" eb="3">
      <t>リツ</t>
    </rPh>
    <phoneticPr fontId="18"/>
  </si>
  <si>
    <t>全半壊率</t>
    <rPh sb="0" eb="1">
      <t>ゼン</t>
    </rPh>
    <rPh sb="1" eb="3">
      <t>ハンカイ</t>
    </rPh>
    <rPh sb="3" eb="4">
      <t>リツ</t>
    </rPh>
    <phoneticPr fontId="18"/>
  </si>
  <si>
    <t>一部損壊以上率</t>
    <rPh sb="0" eb="2">
      <t>イチブ</t>
    </rPh>
    <rPh sb="2" eb="4">
      <t>ソンカイ</t>
    </rPh>
    <rPh sb="4" eb="6">
      <t>イジョウ</t>
    </rPh>
    <rPh sb="6" eb="7">
      <t>リツ</t>
    </rPh>
    <phoneticPr fontId="18"/>
  </si>
  <si>
    <t>回帰直線</t>
    <rPh sb="0" eb="2">
      <t>カイキ</t>
    </rPh>
    <rPh sb="2" eb="4">
      <t>チョクセン</t>
    </rPh>
    <phoneticPr fontId="18"/>
  </si>
  <si>
    <t>a</t>
    <phoneticPr fontId="18"/>
  </si>
  <si>
    <t>b</t>
    <phoneticPr fontId="18"/>
  </si>
  <si>
    <t>回帰モデル</t>
    <rPh sb="0" eb="2">
      <t>カイキ</t>
    </rPh>
    <phoneticPr fontId="18"/>
  </si>
  <si>
    <t>平均値-b/a</t>
    <rPh sb="0" eb="3">
      <t>ヘイキンチ</t>
    </rPh>
    <phoneticPr fontId="18"/>
  </si>
  <si>
    <t>標準偏差</t>
    <rPh sb="0" eb="2">
      <t>ヒョウジュン</t>
    </rPh>
    <rPh sb="2" eb="4">
      <t>ヘンサ</t>
    </rPh>
    <phoneticPr fontId="18"/>
  </si>
  <si>
    <t>被害区分</t>
    <rPh sb="0" eb="2">
      <t>ヒガイ</t>
    </rPh>
    <rPh sb="2" eb="4">
      <t>クブン</t>
    </rPh>
    <phoneticPr fontId="18"/>
  </si>
  <si>
    <t>全壊</t>
    <rPh sb="0" eb="2">
      <t>ゼンカイ</t>
    </rPh>
    <phoneticPr fontId="18"/>
  </si>
  <si>
    <t>半壊</t>
    <rPh sb="0" eb="2">
      <t>ハンカイ</t>
    </rPh>
    <phoneticPr fontId="18"/>
  </si>
  <si>
    <t>一部損壊</t>
    <rPh sb="0" eb="2">
      <t>イチブ</t>
    </rPh>
    <rPh sb="2" eb="4">
      <t>ソンカイ</t>
    </rPh>
    <phoneticPr fontId="18"/>
  </si>
  <si>
    <t>損失率</t>
    <rPh sb="0" eb="2">
      <t>ソンシツ</t>
    </rPh>
    <rPh sb="2" eb="3">
      <t>リツ</t>
    </rPh>
    <phoneticPr fontId="18"/>
  </si>
  <si>
    <t>半壊率</t>
    <rPh sb="0" eb="2">
      <t>ハンカイ</t>
    </rPh>
    <rPh sb="2" eb="3">
      <t>リツリツ</t>
    </rPh>
    <phoneticPr fontId="18"/>
  </si>
  <si>
    <t>一部損壊率</t>
    <rPh sb="0" eb="2">
      <t>イチブ</t>
    </rPh>
    <rPh sb="2" eb="4">
      <t>ソンカイ</t>
    </rPh>
    <rPh sb="4" eb="5">
      <t>リツ</t>
    </rPh>
    <phoneticPr fontId="18"/>
  </si>
  <si>
    <t>無被害率</t>
    <rPh sb="0" eb="1">
      <t>ム</t>
    </rPh>
    <rPh sb="1" eb="3">
      <t>ヒガイ</t>
    </rPh>
    <rPh sb="3" eb="4">
      <t>リツ</t>
    </rPh>
    <phoneticPr fontId="18"/>
  </si>
  <si>
    <t>全損率</t>
    <rPh sb="0" eb="2">
      <t>ゼンソン</t>
    </rPh>
    <rPh sb="2" eb="3">
      <t>リツ</t>
    </rPh>
    <phoneticPr fontId="18"/>
  </si>
  <si>
    <t>へこみ(重度)以上率</t>
    <rPh sb="4" eb="6">
      <t>ジュウド</t>
    </rPh>
    <rPh sb="7" eb="9">
      <t>イジョウ</t>
    </rPh>
    <rPh sb="9" eb="10">
      <t>リツ</t>
    </rPh>
    <phoneticPr fontId="18"/>
  </si>
  <si>
    <t>へこみ(軽度)以上率</t>
    <rPh sb="4" eb="6">
      <t>ケイド</t>
    </rPh>
    <rPh sb="7" eb="9">
      <t>イジョウ</t>
    </rPh>
    <rPh sb="9" eb="10">
      <t>リツ</t>
    </rPh>
    <phoneticPr fontId="18"/>
  </si>
  <si>
    <t>計測雹サイズ</t>
    <rPh sb="0" eb="2">
      <t>ケイソク</t>
    </rPh>
    <rPh sb="2" eb="3">
      <t>ヒョウ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</si>
</sst>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0" xfId="0" applyNumberFormat="1" applyBorder="1">
      <alignment vertical="center"/>
    </xf>
    <xf numFmtId="2" fontId="0" fillId="0" borderId="10" xfId="0" applyNumberFormat="1" applyBorder="1">
      <alignment vertical="center"/>
    </xf>
    <xf numFmtId="9" fontId="0" fillId="0" borderId="10" xfId="42" applyFont="1" applyBorder="1">
      <alignment vertical="center"/>
    </xf>
    <xf numFmtId="0" fontId="0" fillId="0" borderId="10" xfId="0" applyFill="1" applyBorder="1">
      <alignment vertical="center"/>
    </xf>
    <xf numFmtId="0" fontId="14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'1_全損率'!$C$1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'1_全損率'!$A$2:$A$4</c:f>
              <c:numCache>
                <c:formatCode>General</c:formatCode>
                <c:ptCount val="3"/>
                <c:pt idx="0">
                  <c:v>3.95</c:v>
                </c:pt>
                <c:pt idx="1">
                  <c:v>5.95</c:v>
                </c:pt>
                <c:pt idx="2">
                  <c:v>10</c:v>
                </c:pt>
              </c:numCache>
            </c:numRef>
          </c:xVal>
          <c:yVal>
            <c:numRef>
              <c:f>'1_全損率'!$C$2:$C$4</c:f>
              <c:numCache>
                <c:formatCode>General</c:formatCode>
                <c:ptCount val="3"/>
                <c:pt idx="0">
                  <c:v>-1.2815515655446006</c:v>
                </c:pt>
                <c:pt idx="1">
                  <c:v>-0.52440051270804089</c:v>
                </c:pt>
                <c:pt idx="2">
                  <c:v>-0.27931903444745415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C-416D-96B8-8658E3EF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'2_全半壊率'!$C$1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'2_全半壊率'!$A$2:$A$4</c:f>
              <c:numCache>
                <c:formatCode>General</c:formatCode>
                <c:ptCount val="3"/>
                <c:pt idx="0">
                  <c:v>3.95</c:v>
                </c:pt>
                <c:pt idx="1">
                  <c:v>5.95</c:v>
                </c:pt>
                <c:pt idx="2">
                  <c:v>10</c:v>
                </c:pt>
              </c:numCache>
            </c:numRef>
          </c:xVal>
          <c:yVal>
            <c:numRef>
              <c:f>'2_全半壊率'!$C$2:$C$4</c:f>
              <c:numCache>
                <c:formatCode>General</c:formatCode>
                <c:ptCount val="3"/>
                <c:pt idx="0">
                  <c:v>-0.84162123357291452</c:v>
                </c:pt>
                <c:pt idx="1">
                  <c:v>0.25334710313579978</c:v>
                </c:pt>
                <c:pt idx="2">
                  <c:v>0.80642124701824058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89-4BA9-930B-67A1E91D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'3_一部損壊以上率'!$C$1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'3_一部損壊以上率'!$A$2:$A$5</c:f>
              <c:numCache>
                <c:formatCode>General</c:formatCode>
                <c:ptCount val="4"/>
                <c:pt idx="0">
                  <c:v>1.95</c:v>
                </c:pt>
                <c:pt idx="1">
                  <c:v>3.95</c:v>
                </c:pt>
                <c:pt idx="2">
                  <c:v>5.95</c:v>
                </c:pt>
                <c:pt idx="3">
                  <c:v>10</c:v>
                </c:pt>
              </c:numCache>
            </c:numRef>
          </c:xVal>
          <c:yVal>
            <c:numRef>
              <c:f>'3_一部損壊以上率'!$C$2:$C$5</c:f>
              <c:numCache>
                <c:formatCode>General</c:formatCode>
                <c:ptCount val="4"/>
                <c:pt idx="0">
                  <c:v>-0.91536508784281501</c:v>
                </c:pt>
                <c:pt idx="1">
                  <c:v>0.10043372051146988</c:v>
                </c:pt>
                <c:pt idx="2">
                  <c:v>1.0364333894937898</c:v>
                </c:pt>
                <c:pt idx="3">
                  <c:v>1.2815515655446006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5-4AF7-A315-36402E8A8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'4_フラジリティ曲線'!$B$1</c:f>
              <c:strCache>
                <c:ptCount val="1"/>
                <c:pt idx="0">
                  <c:v>全壊率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'4_フラジリティ曲線'!$A$2:$A$131</c:f>
              <c:numCache>
                <c:formatCode>General</c:formatCode>
                <c:ptCount val="13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</c:numCache>
            </c:numRef>
          </c:xVal>
          <c:yVal>
            <c:numRef>
              <c:f>'4_フラジリティ曲線'!$B$2:$B$131</c:f>
              <c:numCache>
                <c:formatCode>General</c:formatCode>
                <c:ptCount val="130"/>
                <c:pt idx="0">
                  <c:v>4.6735075998573961E-2</c:v>
                </c:pt>
                <c:pt idx="1">
                  <c:v>4.8222310927144213E-2</c:v>
                </c:pt>
                <c:pt idx="2">
                  <c:v>4.9747171751446877E-2</c:v>
                </c:pt>
                <c:pt idx="3">
                  <c:v>5.1310257241944539E-2</c:v>
                </c:pt>
                <c:pt idx="4">
                  <c:v>5.2912163694736378E-2</c:v>
                </c:pt>
                <c:pt idx="5">
                  <c:v>5.455348446075077E-2</c:v>
                </c:pt>
                <c:pt idx="6">
                  <c:v>5.6234809465939679E-2</c:v>
                </c:pt>
                <c:pt idx="7">
                  <c:v>5.7956724722801285E-2</c:v>
                </c:pt>
                <c:pt idx="8">
                  <c:v>5.9719811833575359E-2</c:v>
                </c:pt>
                <c:pt idx="9">
                  <c:v>6.1524647485478361E-2</c:v>
                </c:pt>
                <c:pt idx="10">
                  <c:v>6.3371802938364141E-2</c:v>
                </c:pt>
                <c:pt idx="11">
                  <c:v>6.526184350521369E-2</c:v>
                </c:pt>
                <c:pt idx="12">
                  <c:v>6.7195328025880574E-2</c:v>
                </c:pt>
                <c:pt idx="13">
                  <c:v>6.9172808334534916E-2</c:v>
                </c:pt>
                <c:pt idx="14">
                  <c:v>7.11948287212682E-2</c:v>
                </c:pt>
                <c:pt idx="15">
                  <c:v>7.3261925388341698E-2</c:v>
                </c:pt>
                <c:pt idx="16">
                  <c:v>7.5374625901576175E-2</c:v>
                </c:pt>
                <c:pt idx="17">
                  <c:v>7.7533448637403038E-2</c:v>
                </c:pt>
                <c:pt idx="18">
                  <c:v>7.9738902226109132E-2</c:v>
                </c:pt>
                <c:pt idx="19">
                  <c:v>8.1991484991830121E-2</c:v>
                </c:pt>
                <c:pt idx="20">
                  <c:v>8.4291684389858637E-2</c:v>
                </c:pt>
                <c:pt idx="21">
                  <c:v>8.6639976441853186E-2</c:v>
                </c:pt>
                <c:pt idx="22">
                  <c:v>8.9036825169547723E-2</c:v>
                </c:pt>
                <c:pt idx="23">
                  <c:v>9.1482682027574994E-2</c:v>
                </c:pt>
                <c:pt idx="24">
                  <c:v>9.3977985336035255E-2</c:v>
                </c:pt>
                <c:pt idx="25">
                  <c:v>9.6523159713449075E-2</c:v>
                </c:pt>
                <c:pt idx="26">
                  <c:v>9.9118615510751684E-2</c:v>
                </c:pt>
                <c:pt idx="27">
                  <c:v>0.10176474824699328</c:v>
                </c:pt>
                <c:pt idx="28">
                  <c:v>0.1044619380474245</c:v>
                </c:pt>
                <c:pt idx="29">
                  <c:v>0.10721054908465318</c:v>
                </c:pt>
                <c:pt idx="30">
                  <c:v>0.11001092902357021</c:v>
                </c:pt>
                <c:pt idx="31">
                  <c:v>0.11286340847074888</c:v>
                </c:pt>
                <c:pt idx="32">
                  <c:v>0.11576830042903045</c:v>
                </c:pt>
                <c:pt idx="33">
                  <c:v>0.11872589975801501</c:v>
                </c:pt>
                <c:pt idx="34">
                  <c:v>0.12173648264118053</c:v>
                </c:pt>
                <c:pt idx="35">
                  <c:v>0.12480030606036008</c:v>
                </c:pt>
                <c:pt idx="36">
                  <c:v>0.1279176072783067</c:v>
                </c:pt>
                <c:pt idx="37">
                  <c:v>0.13108860333008129</c:v>
                </c:pt>
                <c:pt idx="38">
                  <c:v>0.13431349052399585</c:v>
                </c:pt>
                <c:pt idx="39">
                  <c:v>0.13759244395284839</c:v>
                </c:pt>
                <c:pt idx="40">
                  <c:v>0.1409256170161802</c:v>
                </c:pt>
                <c:pt idx="41">
                  <c:v>0.14431314095428729</c:v>
                </c:pt>
                <c:pt idx="42">
                  <c:v>0.1477551243947102</c:v>
                </c:pt>
                <c:pt idx="43">
                  <c:v>0.15125165291192641</c:v>
                </c:pt>
                <c:pt idx="44">
                  <c:v>0.15480278860095686</c:v>
                </c:pt>
                <c:pt idx="45">
                  <c:v>0.15840856966559663</c:v>
                </c:pt>
                <c:pt idx="46">
                  <c:v>0.16206901002196719</c:v>
                </c:pt>
                <c:pt idx="47">
                  <c:v>0.16578409891807941</c:v>
                </c:pt>
                <c:pt idx="48">
                  <c:v>0.16955380057008432</c:v>
                </c:pt>
                <c:pt idx="49">
                  <c:v>0.17337805381587654</c:v>
                </c:pt>
                <c:pt idx="50">
                  <c:v>0.17725677178670238</c:v>
                </c:pt>
                <c:pt idx="51">
                  <c:v>0.18118984159740706</c:v>
                </c:pt>
                <c:pt idx="52">
                  <c:v>0.18517712405594222</c:v>
                </c:pt>
                <c:pt idx="53">
                  <c:v>0.18921845339273619</c:v>
                </c:pt>
                <c:pt idx="54">
                  <c:v>0.19331363701050938</c:v>
                </c:pt>
                <c:pt idx="55">
                  <c:v>0.19746245525510095</c:v>
                </c:pt>
                <c:pt idx="56">
                  <c:v>0.20166466120784712</c:v>
                </c:pt>
                <c:pt idx="57">
                  <c:v>0.20591998050003379</c:v>
                </c:pt>
                <c:pt idx="58">
                  <c:v>0.21022811114992004</c:v>
                </c:pt>
                <c:pt idx="59">
                  <c:v>0.21458872342280566</c:v>
                </c:pt>
                <c:pt idx="60">
                  <c:v>0.21900145971459012</c:v>
                </c:pt>
                <c:pt idx="61">
                  <c:v>0.2234659344592452</c:v>
                </c:pt>
                <c:pt idx="62">
                  <c:v>0.22798173406059272</c:v>
                </c:pt>
                <c:pt idx="63">
                  <c:v>0.23254841684875568</c:v>
                </c:pt>
                <c:pt idx="64">
                  <c:v>0.23716551306161535</c:v>
                </c:pt>
                <c:pt idx="65">
                  <c:v>0.24183252485158252</c:v>
                </c:pt>
                <c:pt idx="66">
                  <c:v>0.24654892631795683</c:v>
                </c:pt>
                <c:pt idx="67">
                  <c:v>0.25131416356511604</c:v>
                </c:pt>
                <c:pt idx="68">
                  <c:v>0.25612765478674687</c:v>
                </c:pt>
                <c:pt idx="69">
                  <c:v>0.26098879037629297</c:v>
                </c:pt>
                <c:pt idx="70">
                  <c:v>0.26589693306376483</c:v>
                </c:pt>
                <c:pt idx="71">
                  <c:v>0.27085141807901841</c:v>
                </c:pt>
                <c:pt idx="72">
                  <c:v>0.27585155334157729</c:v>
                </c:pt>
                <c:pt idx="73">
                  <c:v>0.2808966196770365</c:v>
                </c:pt>
                <c:pt idx="74">
                  <c:v>0.28598587106005058</c:v>
                </c:pt>
                <c:pt idx="75">
                  <c:v>0.29111853488387057</c:v>
                </c:pt>
                <c:pt idx="76">
                  <c:v>0.29629381225636264</c:v>
                </c:pt>
                <c:pt idx="77">
                  <c:v>0.30151087832239876</c:v>
                </c:pt>
                <c:pt idx="78">
                  <c:v>0.30676888261247687</c:v>
                </c:pt>
                <c:pt idx="79">
                  <c:v>0.31206694941739055</c:v>
                </c:pt>
                <c:pt idx="80">
                  <c:v>0.31740417818873012</c:v>
                </c:pt>
                <c:pt idx="81">
                  <c:v>0.32277964396496062</c:v>
                </c:pt>
                <c:pt idx="82">
                  <c:v>0.32819239782278653</c:v>
                </c:pt>
                <c:pt idx="83">
                  <c:v>0.3336414673534745</c:v>
                </c:pt>
                <c:pt idx="84">
                  <c:v>0.33912585716377197</c:v>
                </c:pt>
                <c:pt idx="85">
                  <c:v>0.34464454940102018</c:v>
                </c:pt>
                <c:pt idx="86">
                  <c:v>0.35019650430202742</c:v>
                </c:pt>
                <c:pt idx="87">
                  <c:v>0.35578066076523074</c:v>
                </c:pt>
                <c:pt idx="88">
                  <c:v>0.36139593694564254</c:v>
                </c:pt>
                <c:pt idx="89">
                  <c:v>0.36704123087204182</c:v>
                </c:pt>
                <c:pt idx="90">
                  <c:v>0.37271542108583877</c:v>
                </c:pt>
                <c:pt idx="91">
                  <c:v>0.37841736730100545</c:v>
                </c:pt>
                <c:pt idx="92">
                  <c:v>0.3841459110844383</c:v>
                </c:pt>
                <c:pt idx="93">
                  <c:v>0.38989987655608244</c:v>
                </c:pt>
                <c:pt idx="94">
                  <c:v>0.39567807110812098</c:v>
                </c:pt>
                <c:pt idx="95">
                  <c:v>0.40147928614250117</c:v>
                </c:pt>
                <c:pt idx="96">
                  <c:v>0.40730229782604255</c:v>
                </c:pt>
                <c:pt idx="97">
                  <c:v>0.41314586786234486</c:v>
                </c:pt>
                <c:pt idx="98">
                  <c:v>0.41900874427968632</c:v>
                </c:pt>
                <c:pt idx="99">
                  <c:v>0.42488966223408103</c:v>
                </c:pt>
                <c:pt idx="100">
                  <c:v>0.43078734482663678</c:v>
                </c:pt>
                <c:pt idx="101">
                  <c:v>0.43670050393433607</c:v>
                </c:pt>
                <c:pt idx="102">
                  <c:v>0.44262784105333985</c:v>
                </c:pt>
                <c:pt idx="103">
                  <c:v>0.44856804815389395</c:v>
                </c:pt>
                <c:pt idx="104">
                  <c:v>0.45451980854590324</c:v>
                </c:pt>
                <c:pt idx="105">
                  <c:v>0.46048179775421594</c:v>
                </c:pt>
                <c:pt idx="106">
                  <c:v>0.46645268440265075</c:v>
                </c:pt>
                <c:pt idx="107">
                  <c:v>0.47243113110578389</c:v>
                </c:pt>
                <c:pt idx="108">
                  <c:v>0.47841579536749856</c:v>
                </c:pt>
                <c:pt idx="109">
                  <c:v>0.48440533048529355</c:v>
                </c:pt>
                <c:pt idx="110">
                  <c:v>0.49039838645933348</c:v>
                </c:pt>
                <c:pt idx="111">
                  <c:v>0.49639361090521911</c:v>
                </c:pt>
                <c:pt idx="112">
                  <c:v>0.50238964996944946</c:v>
                </c:pt>
                <c:pt idx="113">
                  <c:v>0.50838514924654199</c:v>
                </c:pt>
                <c:pt idx="114">
                  <c:v>0.51437875469677707</c:v>
                </c:pt>
                <c:pt idx="115">
                  <c:v>0.52036911356352866</c:v>
                </c:pt>
                <c:pt idx="116">
                  <c:v>0.52635487528914604</c:v>
                </c:pt>
                <c:pt idx="117">
                  <c:v>0.53233469242835407</c:v>
                </c:pt>
                <c:pt idx="118">
                  <c:v>0.53830722155814159</c:v>
                </c:pt>
                <c:pt idx="119">
                  <c:v>0.54427112418311385</c:v>
                </c:pt>
                <c:pt idx="120">
                  <c:v>0.55022506763529311</c:v>
                </c:pt>
                <c:pt idx="121">
                  <c:v>0.55616772596735808</c:v>
                </c:pt>
                <c:pt idx="122">
                  <c:v>0.56209778083832629</c:v>
                </c:pt>
                <c:pt idx="123">
                  <c:v>0.56801392239069126</c:v>
                </c:pt>
                <c:pt idx="124">
                  <c:v>0.57391485011804444</c:v>
                </c:pt>
                <c:pt idx="125">
                  <c:v>0.5797992737222234</c:v>
                </c:pt>
                <c:pt idx="126">
                  <c:v>0.58566591395904455</c:v>
                </c:pt>
                <c:pt idx="127">
                  <c:v>0.59151350347169929</c:v>
                </c:pt>
                <c:pt idx="128">
                  <c:v>0.59734078761090659</c:v>
                </c:pt>
                <c:pt idx="129">
                  <c:v>0.60314652524094359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2-422C-89B5-5A75F39C3585}"/>
            </c:ext>
          </c:extLst>
        </c:ser>
        <c:ser>
          <c:idx val="1"/>
          <c:order val="1"/>
          <c:tx>
            <c:strRef>
              <c:f>'4_フラジリティ曲線'!$C$1</c:f>
              <c:strCache>
                <c:ptCount val="1"/>
                <c:pt idx="0">
                  <c:v>全半壊率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'4_フラジリティ曲線'!$A$2:$A$131</c:f>
              <c:numCache>
                <c:formatCode>General</c:formatCode>
                <c:ptCount val="13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</c:numCache>
            </c:numRef>
          </c:xVal>
          <c:yVal>
            <c:numRef>
              <c:f>'4_フラジリティ曲線'!$C$2:$C$131</c:f>
              <c:numCache>
                <c:formatCode>General</c:formatCode>
                <c:ptCount val="130"/>
                <c:pt idx="0">
                  <c:v>5.7312676443212113E-2</c:v>
                </c:pt>
                <c:pt idx="1">
                  <c:v>6.0273707282379664E-2</c:v>
                </c:pt>
                <c:pt idx="2">
                  <c:v>6.33531573263693E-2</c:v>
                </c:pt>
                <c:pt idx="3">
                  <c:v>6.6553719744191886E-2</c:v>
                </c:pt>
                <c:pt idx="4">
                  <c:v>6.9878036088698539E-2</c:v>
                </c:pt>
                <c:pt idx="5">
                  <c:v>7.3328689131768904E-2</c:v>
                </c:pt>
                <c:pt idx="6">
                  <c:v>7.690819557534781E-2</c:v>
                </c:pt>
                <c:pt idx="7">
                  <c:v>8.0618998657253874E-2</c:v>
                </c:pt>
                <c:pt idx="8">
                  <c:v>8.4463460671814386E-2</c:v>
                </c:pt>
                <c:pt idx="9">
                  <c:v>8.8443855426457219E-2</c:v>
                </c:pt>
                <c:pt idx="10">
                  <c:v>9.2562360656421136E-2</c:v>
                </c:pt>
                <c:pt idx="11">
                  <c:v>9.6821050420700133E-2</c:v>
                </c:pt>
                <c:pt idx="12">
                  <c:v>0.10122188750323267</c:v>
                </c:pt>
                <c:pt idx="13">
                  <c:v>0.10576671584415652</c:v>
                </c:pt>
                <c:pt idx="14">
                  <c:v>0.11045725302667826</c:v>
                </c:pt>
                <c:pt idx="15">
                  <c:v>0.11529508284574236</c:v>
                </c:pt>
                <c:pt idx="16">
                  <c:v>0.12028164798522423</c:v>
                </c:pt>
                <c:pt idx="17">
                  <c:v>0.1254182428308051</c:v>
                </c:pt>
                <c:pt idx="18">
                  <c:v>0.13070600644601219</c:v>
                </c:pt>
                <c:pt idx="19">
                  <c:v>0.13614591573911972</c:v>
                </c:pt>
                <c:pt idx="20">
                  <c:v>0.14173877884869646</c:v>
                </c:pt>
                <c:pt idx="21">
                  <c:v>0.147485228775556</c:v>
                </c:pt>
                <c:pt idx="22">
                  <c:v>0.15338571728870715</c:v>
                </c:pt>
                <c:pt idx="23">
                  <c:v>0.15944050913261432</c:v>
                </c:pt>
                <c:pt idx="24">
                  <c:v>0.165649676562661</c:v>
                </c:pt>
                <c:pt idx="25">
                  <c:v>0.17201309423515476</c:v>
                </c:pt>
                <c:pt idx="26">
                  <c:v>0.17853043447753011</c:v>
                </c:pt>
                <c:pt idx="27">
                  <c:v>0.18520116296358405</c:v>
                </c:pt>
                <c:pt idx="28">
                  <c:v>0.19202453481762846</c:v>
                </c:pt>
                <c:pt idx="29">
                  <c:v>0.19899959117035912</c:v>
                </c:pt>
                <c:pt idx="30">
                  <c:v>0.20612515618803273</c:v>
                </c:pt>
                <c:pt idx="31">
                  <c:v>0.21339983459519987</c:v>
                </c:pt>
                <c:pt idx="32">
                  <c:v>0.22082200970979005</c:v>
                </c:pt>
                <c:pt idx="33">
                  <c:v>0.22838984200776241</c:v>
                </c:pt>
                <c:pt idx="34">
                  <c:v>0.23610126823285416</c:v>
                </c:pt>
                <c:pt idx="35">
                  <c:v>0.24395400106516424</c:v>
                </c:pt>
                <c:pt idx="36">
                  <c:v>0.25194552936042114</c:v>
                </c:pt>
                <c:pt idx="37">
                  <c:v>0.26007311896980512</c:v>
                </c:pt>
                <c:pt idx="38">
                  <c:v>0.26833381414813523</c:v>
                </c:pt>
                <c:pt idx="39">
                  <c:v>0.27672443955609582</c:v>
                </c:pt>
                <c:pt idx="40">
                  <c:v>0.28524160285998712</c:v>
                </c:pt>
                <c:pt idx="41">
                  <c:v>0.29388169793023244</c:v>
                </c:pt>
                <c:pt idx="42">
                  <c:v>0.3026409086375863</c:v>
                </c:pt>
                <c:pt idx="43">
                  <c:v>0.31151521324367182</c:v>
                </c:pt>
                <c:pt idx="44">
                  <c:v>0.32050038938013081</c:v>
                </c:pt>
                <c:pt idx="45">
                  <c:v>0.3295920196083299</c:v>
                </c:pt>
                <c:pt idx="46">
                  <c:v>0.33878549754922005</c:v>
                </c:pt>
                <c:pt idx="47">
                  <c:v>0.3480760345706263</c:v>
                </c:pt>
                <c:pt idx="48">
                  <c:v>0.35745866701694473</c:v>
                </c:pt>
                <c:pt idx="49">
                  <c:v>0.36692826396397188</c:v>
                </c:pt>
                <c:pt idx="50">
                  <c:v>0.37647953547938945</c:v>
                </c:pt>
                <c:pt idx="51">
                  <c:v>0.38610704136728746</c:v>
                </c:pt>
                <c:pt idx="52">
                  <c:v>0.39580520037305239</c:v>
                </c:pt>
                <c:pt idx="53">
                  <c:v>0.40556829982297293</c:v>
                </c:pt>
                <c:pt idx="54">
                  <c:v>0.41539050567103758</c:v>
                </c:pt>
                <c:pt idx="55">
                  <c:v>0.4252658729236401</c:v>
                </c:pt>
                <c:pt idx="56">
                  <c:v>0.43518835641125614</c:v>
                </c:pt>
                <c:pt idx="57">
                  <c:v>0.44515182187463809</c:v>
                </c:pt>
                <c:pt idx="58">
                  <c:v>0.45515005733169472</c:v>
                </c:pt>
                <c:pt idx="59">
                  <c:v>0.4651767846899808</c:v>
                </c:pt>
                <c:pt idx="60">
                  <c:v>0.47522567156863954</c:v>
                </c:pt>
                <c:pt idx="61">
                  <c:v>0.48529034329270804</c:v>
                </c:pt>
                <c:pt idx="62">
                  <c:v>0.49536439502193352</c:v>
                </c:pt>
                <c:pt idx="63">
                  <c:v>0.50544140397564685</c:v>
                </c:pt>
                <c:pt idx="64">
                  <c:v>0.51551494171481227</c:v>
                </c:pt>
                <c:pt idx="65">
                  <c:v>0.52557858644211852</c:v>
                </c:pt>
                <c:pt idx="66">
                  <c:v>0.53562593528089397</c:v>
                </c:pt>
                <c:pt idx="67">
                  <c:v>0.54565061649372359</c:v>
                </c:pt>
                <c:pt idx="68">
                  <c:v>0.5556463016019173</c:v>
                </c:pt>
                <c:pt idx="69">
                  <c:v>0.56560671736741419</c:v>
                </c:pt>
                <c:pt idx="70">
                  <c:v>0.57552565759932928</c:v>
                </c:pt>
                <c:pt idx="71">
                  <c:v>0.58539699474811879</c:v>
                </c:pt>
                <c:pt idx="72">
                  <c:v>0.5952146912512879</c:v>
                </c:pt>
                <c:pt idx="73">
                  <c:v>0.60497281059566232</c:v>
                </c:pt>
                <c:pt idx="74">
                  <c:v>0.61466552806249219</c:v>
                </c:pt>
                <c:pt idx="75">
                  <c:v>0.62428714112305406</c:v>
                </c:pt>
                <c:pt idx="76">
                  <c:v>0.63383207945394104</c:v>
                </c:pt>
                <c:pt idx="77">
                  <c:v>0.64329491454289245</c:v>
                </c:pt>
                <c:pt idx="78">
                  <c:v>0.65267036885778607</c:v>
                </c:pt>
                <c:pt idx="79">
                  <c:v>0.66195332455329736</c:v>
                </c:pt>
                <c:pt idx="80">
                  <c:v>0.67113883169171529</c:v>
                </c:pt>
                <c:pt idx="81">
                  <c:v>0.68022211595646542</c:v>
                </c:pt>
                <c:pt idx="82">
                  <c:v>0.68919858583903737</c:v>
                </c:pt>
                <c:pt idx="83">
                  <c:v>0.69806383928221982</c:v>
                </c:pt>
                <c:pt idx="84">
                  <c:v>0.70681366976480409</c:v>
                </c:pt>
                <c:pt idx="85">
                  <c:v>0.71544407181521552</c:v>
                </c:pt>
                <c:pt idx="86">
                  <c:v>0.72395124594385862</c:v>
                </c:pt>
                <c:pt idx="87">
                  <c:v>0.73233160298630573</c:v>
                </c:pt>
                <c:pt idx="88">
                  <c:v>0.74058176785180119</c:v>
                </c:pt>
                <c:pt idx="89">
                  <c:v>0.74869858267389633</c:v>
                </c:pt>
                <c:pt idx="90">
                  <c:v>0.75667910936234029</c:v>
                </c:pt>
                <c:pt idx="91">
                  <c:v>0.76452063155764538</c:v>
                </c:pt>
                <c:pt idx="92">
                  <c:v>0.7722206559919863</c:v>
                </c:pt>
                <c:pt idx="93">
                  <c:v>0.77977691326227982</c:v>
                </c:pt>
                <c:pt idx="94">
                  <c:v>0.78718735802342832</c:v>
                </c:pt>
                <c:pt idx="95">
                  <c:v>0.79445016861175111</c:v>
                </c:pt>
                <c:pt idx="96">
                  <c:v>0.80156374611061332</c:v>
                </c:pt>
                <c:pt idx="97">
                  <c:v>0.80852671287213385</c:v>
                </c:pt>
                <c:pt idx="98">
                  <c:v>0.81533791051064264</c:v>
                </c:pt>
                <c:pt idx="99">
                  <c:v>0.82199639738523511</c:v>
                </c:pt>
                <c:pt idx="100">
                  <c:v>0.82850144559033434</c:v>
                </c:pt>
                <c:pt idx="101">
                  <c:v>0.83485253747462673</c:v>
                </c:pt>
                <c:pt idx="102">
                  <c:v>0.84104936171006117</c:v>
                </c:pt>
                <c:pt idx="103">
                  <c:v>0.84709180893380165</c:v>
                </c:pt>
                <c:pt idx="104">
                  <c:v>0.85297996698710199</c:v>
                </c:pt>
                <c:pt idx="105">
                  <c:v>0.85871411577600465</c:v>
                </c:pt>
                <c:pt idx="106">
                  <c:v>0.86429472177958122</c:v>
                </c:pt>
                <c:pt idx="107">
                  <c:v>0.86972243223210211</c:v>
                </c:pt>
                <c:pt idx="108">
                  <c:v>0.87499806900606603</c:v>
                </c:pt>
                <c:pt idx="109">
                  <c:v>0.88012262222342796</c:v>
                </c:pt>
                <c:pt idx="110">
                  <c:v>0.88509724362263942</c:v>
                </c:pt>
                <c:pt idx="111">
                  <c:v>0.88992323970926523</c:v>
                </c:pt>
                <c:pt idx="112">
                  <c:v>0.89460206471795867</c:v>
                </c:pt>
                <c:pt idx="113">
                  <c:v>0.89913531341347874</c:v>
                </c:pt>
                <c:pt idx="114">
                  <c:v>0.90352471375821053</c:v>
                </c:pt>
                <c:pt idx="115">
                  <c:v>0.90777211947331671</c:v>
                </c:pt>
                <c:pt idx="116">
                  <c:v>0.911879502520204</c:v>
                </c:pt>
                <c:pt idx="117">
                  <c:v>0.91584894552844287</c:v>
                </c:pt>
                <c:pt idx="118">
                  <c:v>0.91968263419563423</c:v>
                </c:pt>
                <c:pt idx="119">
                  <c:v>0.92338284968398354</c:v>
                </c:pt>
                <c:pt idx="120">
                  <c:v>0.92695196103752053</c:v>
                </c:pt>
                <c:pt idx="121">
                  <c:v>0.93039241764301228</c:v>
                </c:pt>
                <c:pt idx="122">
                  <c:v>0.93370674175664492</c:v>
                </c:pt>
                <c:pt idx="123">
                  <c:v>0.93689752111752411</c:v>
                </c:pt>
                <c:pt idx="124">
                  <c:v>0.93996740166795922</c:v>
                </c:pt>
                <c:pt idx="125">
                  <c:v>0.94291908039936234</c:v>
                </c:pt>
                <c:pt idx="126">
                  <c:v>0.9457552983414198</c:v>
                </c:pt>
                <c:pt idx="127">
                  <c:v>0.94847883371098995</c:v>
                </c:pt>
                <c:pt idx="128">
                  <c:v>0.95109249523594508</c:v>
                </c:pt>
                <c:pt idx="129">
                  <c:v>0.9535991156679261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2-422C-89B5-5A75F39C3585}"/>
            </c:ext>
          </c:extLst>
        </c:ser>
        <c:ser>
          <c:idx val="2"/>
          <c:order val="2"/>
          <c:tx>
            <c:strRef>
              <c:f>'4_フラジリティ曲線'!$D$1</c:f>
              <c:strCache>
                <c:ptCount val="1"/>
                <c:pt idx="0">
                  <c:v>一部損壊以上率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'4_フラジリティ曲線'!$A$2:$A$131</c:f>
              <c:numCache>
                <c:formatCode>General</c:formatCode>
                <c:ptCount val="13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</c:numCache>
            </c:numRef>
          </c:xVal>
          <c:yVal>
            <c:numRef>
              <c:f>'4_フラジリティ曲線'!$D$2:$D$131</c:f>
              <c:numCache>
                <c:formatCode>General</c:formatCode>
                <c:ptCount val="130"/>
                <c:pt idx="0">
                  <c:v>0.14832830374558856</c:v>
                </c:pt>
                <c:pt idx="1">
                  <c:v>0.15453866058360935</c:v>
                </c:pt>
                <c:pt idx="2">
                  <c:v>0.1609184877643185</c:v>
                </c:pt>
                <c:pt idx="3">
                  <c:v>0.16746781965176338</c:v>
                </c:pt>
                <c:pt idx="4">
                  <c:v>0.1741864509352487</c:v>
                </c:pt>
                <c:pt idx="5">
                  <c:v>0.18107393078572862</c:v>
                </c:pt>
                <c:pt idx="6">
                  <c:v>0.1881295575577259</c:v>
                </c:pt>
                <c:pt idx="7">
                  <c:v>0.19535237406946254</c:v>
                </c:pt>
                <c:pt idx="8">
                  <c:v>0.20274116349224849</c:v>
                </c:pt>
                <c:pt idx="9">
                  <c:v>0.21029444587834267</c:v>
                </c:pt>
                <c:pt idx="10">
                  <c:v>0.21801047535447879</c:v>
                </c:pt>
                <c:pt idx="11">
                  <c:v>0.2258872380060454</c:v>
                </c:pt>
                <c:pt idx="12">
                  <c:v>0.23392245047453158</c:v>
                </c:pt>
                <c:pt idx="13">
                  <c:v>0.24211355928830969</c:v>
                </c:pt>
                <c:pt idx="14">
                  <c:v>0.25045774094412981</c:v>
                </c:pt>
                <c:pt idx="15">
                  <c:v>0.25895190275386926</c:v>
                </c:pt>
                <c:pt idx="16">
                  <c:v>0.26759268446811213</c:v>
                </c:pt>
                <c:pt idx="17">
                  <c:v>0.2763764606850595</c:v>
                </c:pt>
                <c:pt idx="18">
                  <c:v>0.28529934405009472</c:v>
                </c:pt>
                <c:pt idx="19">
                  <c:v>0.29435718924807103</c:v>
                </c:pt>
                <c:pt idx="20">
                  <c:v>0.30354559778706247</c:v>
                </c:pt>
                <c:pt idx="21">
                  <c:v>0.31285992356895426</c:v>
                </c:pt>
                <c:pt idx="22">
                  <c:v>0.32229527923884183</c:v>
                </c:pt>
                <c:pt idx="23">
                  <c:v>0.33184654330180252</c:v>
                </c:pt>
                <c:pt idx="24">
                  <c:v>0.34150836799219947</c:v>
                </c:pt>
                <c:pt idx="25">
                  <c:v>0.35127518787730261</c:v>
                </c:pt>
                <c:pt idx="26">
                  <c:v>0.36114122917368641</c:v>
                </c:pt>
                <c:pt idx="27">
                  <c:v>0.37110051975160119</c:v>
                </c:pt>
                <c:pt idx="28">
                  <c:v>0.38114689979934258</c:v>
                </c:pt>
                <c:pt idx="29">
                  <c:v>0.39127403311656878</c:v>
                </c:pt>
                <c:pt idx="30">
                  <c:v>0.40147541900257366</c:v>
                </c:pt>
                <c:pt idx="31">
                  <c:v>0.41174440470271123</c:v>
                </c:pt>
                <c:pt idx="32">
                  <c:v>0.42207419837351934</c:v>
                </c:pt>
                <c:pt idx="33">
                  <c:v>0.43245788252461587</c:v>
                </c:pt>
                <c:pt idx="34">
                  <c:v>0.44288842789315086</c:v>
                </c:pt>
                <c:pt idx="35">
                  <c:v>0.45335870770451586</c:v>
                </c:pt>
                <c:pt idx="36">
                  <c:v>0.46386151227114386</c:v>
                </c:pt>
                <c:pt idx="37">
                  <c:v>0.47438956387959064</c:v>
                </c:pt>
                <c:pt idx="38">
                  <c:v>0.48493553191468725</c:v>
                </c:pt>
                <c:pt idx="39">
                  <c:v>0.49549204816839615</c:v>
                </c:pt>
                <c:pt idx="40">
                  <c:v>0.50605172228010087</c:v>
                </c:pt>
                <c:pt idx="41">
                  <c:v>0.51660715725441686</c:v>
                </c:pt>
                <c:pt idx="42">
                  <c:v>0.52715096500222858</c:v>
                </c:pt>
                <c:pt idx="43">
                  <c:v>0.53767578185055021</c:v>
                </c:pt>
                <c:pt idx="44">
                  <c:v>0.54817428396695</c:v>
                </c:pt>
                <c:pt idx="45">
                  <c:v>0.55863920264470979</c:v>
                </c:pt>
                <c:pt idx="46">
                  <c:v>0.56906333939556009</c:v>
                </c:pt>
                <c:pt idx="47">
                  <c:v>0.57943958079777869</c:v>
                </c:pt>
                <c:pt idx="48">
                  <c:v>0.58976091304863365</c:v>
                </c:pt>
                <c:pt idx="49">
                  <c:v>0.60002043617158396</c:v>
                </c:pt>
                <c:pt idx="50">
                  <c:v>0.61021137783033419</c:v>
                </c:pt>
                <c:pt idx="51">
                  <c:v>0.62032710670373081</c:v>
                </c:pt>
                <c:pt idx="52">
                  <c:v>0.63036114537761145</c:v>
                </c:pt>
                <c:pt idx="53">
                  <c:v>0.64030718271202625</c:v>
                </c:pt>
                <c:pt idx="54">
                  <c:v>0.65015908564475755</c:v>
                </c:pt>
                <c:pt idx="55">
                  <c:v>0.65991091039473759</c:v>
                </c:pt>
                <c:pt idx="56">
                  <c:v>0.66955691303178888</c:v>
                </c:pt>
                <c:pt idx="57">
                  <c:v>0.67909155938208254</c:v>
                </c:pt>
                <c:pt idx="58">
                  <c:v>0.68850953424179795</c:v>
                </c:pt>
                <c:pt idx="59">
                  <c:v>0.69780574987464949</c:v>
                </c:pt>
                <c:pt idx="60">
                  <c:v>0.70697535377222431</c:v>
                </c:pt>
                <c:pt idx="61">
                  <c:v>0.71601373565940751</c:v>
                </c:pt>
                <c:pt idx="62">
                  <c:v>0.72491653373054932</c:v>
                </c:pt>
                <c:pt idx="63">
                  <c:v>0.73367964010543618</c:v>
                </c:pt>
                <c:pt idx="64">
                  <c:v>0.74229920549753559</c:v>
                </c:pt>
                <c:pt idx="65">
                  <c:v>0.7507716430903838</c:v>
                </c:pt>
                <c:pt idx="66">
                  <c:v>0.75909363162134713</c:v>
                </c:pt>
                <c:pt idx="67">
                  <c:v>0.76726211767530517</c:v>
                </c:pt>
                <c:pt idx="68">
                  <c:v>0.77527431719405049</c:v>
                </c:pt>
                <c:pt idx="69">
                  <c:v>0.78312771621036015</c:v>
                </c:pt>
                <c:pt idx="70">
                  <c:v>0.79082007081875816</c:v>
                </c:pt>
                <c:pt idx="71">
                  <c:v>0.79834940639793028</c:v>
                </c:pt>
                <c:pt idx="72">
                  <c:v>0.80571401610257398</c:v>
                </c:pt>
                <c:pt idx="73">
                  <c:v>0.81291245864513195</c:v>
                </c:pt>
                <c:pt idx="74">
                  <c:v>0.81994355539038188</c:v>
                </c:pt>
                <c:pt idx="75">
                  <c:v>0.82680638678820295</c:v>
                </c:pt>
                <c:pt idx="76">
                  <c:v>0.83350028817202071</c:v>
                </c:pt>
                <c:pt idx="77">
                  <c:v>0.8400248449524208</c:v>
                </c:pt>
                <c:pt idx="78">
                  <c:v>0.84637988723723523</c:v>
                </c:pt>
                <c:pt idx="79">
                  <c:v>0.85256548391100351</c:v>
                </c:pt>
                <c:pt idx="80">
                  <c:v>0.85858193620813006</c:v>
                </c:pt>
                <c:pt idx="81">
                  <c:v>0.86442977081526196</c:v>
                </c:pt>
                <c:pt idx="82">
                  <c:v>0.87010973253941493</c:v>
                </c:pt>
                <c:pt idx="83">
                  <c:v>0.87562277657918042</c:v>
                </c:pt>
                <c:pt idx="84">
                  <c:v>0.88097006043693937</c:v>
                </c:pt>
                <c:pt idx="85">
                  <c:v>0.88615293551040908</c:v>
                </c:pt>
                <c:pt idx="86">
                  <c:v>0.89117293840205036</c:v>
                </c:pt>
                <c:pt idx="87">
                  <c:v>0.89603178198487066</c:v>
                </c:pt>
                <c:pt idx="88">
                  <c:v>0.90073134626298224</c:v>
                </c:pt>
                <c:pt idx="89">
                  <c:v>0.9052736690649188</c:v>
                </c:pt>
                <c:pt idx="90">
                  <c:v>0.90966093660718428</c:v>
                </c:pt>
                <c:pt idx="91">
                  <c:v>0.91389547396481519</c:v>
                </c:pt>
                <c:pt idx="92">
                  <c:v>0.91797973548489531</c:v>
                </c:pt>
                <c:pt idx="93">
                  <c:v>0.92191629517796425</c:v>
                </c:pt>
                <c:pt idx="94">
                  <c:v>0.92570783712114402</c:v>
                </c:pt>
                <c:pt idx="95">
                  <c:v>0.92935714590555318</c:v>
                </c:pt>
                <c:pt idx="96">
                  <c:v>0.93286709715922234</c:v>
                </c:pt>
                <c:pt idx="97">
                  <c:v>0.93624064817526165</c:v>
                </c:pt>
                <c:pt idx="98">
                  <c:v>0.93948082867348148</c:v>
                </c:pt>
                <c:pt idx="99">
                  <c:v>0.94259073172204466</c:v>
                </c:pt>
                <c:pt idx="100">
                  <c:v>0.94557350484403102</c:v>
                </c:pt>
                <c:pt idx="101">
                  <c:v>0.94843234133205567</c:v>
                </c:pt>
                <c:pt idx="102">
                  <c:v>0.95117047179229275</c:v>
                </c:pt>
                <c:pt idx="103">
                  <c:v>0.95379115593744357</c:v>
                </c:pt>
                <c:pt idx="104">
                  <c:v>0.95629767464634774</c:v>
                </c:pt>
                <c:pt idx="105">
                  <c:v>0.95869332230609716</c:v>
                </c:pt>
                <c:pt idx="106">
                  <c:v>0.96098139945066963</c:v>
                </c:pt>
                <c:pt idx="107">
                  <c:v>0.96316520570826913</c:v>
                </c:pt>
                <c:pt idx="108">
                  <c:v>0.96524803306775686</c:v>
                </c:pt>
                <c:pt idx="109">
                  <c:v>0.96723315947277555</c:v>
                </c:pt>
                <c:pt idx="110">
                  <c:v>0.96912384275043917</c:v>
                </c:pt>
                <c:pt idx="111">
                  <c:v>0.97092331487976213</c:v>
                </c:pt>
                <c:pt idx="112">
                  <c:v>0.97263477660337527</c:v>
                </c:pt>
                <c:pt idx="113">
                  <c:v>0.97426139238449083</c:v>
                </c:pt>
                <c:pt idx="114">
                  <c:v>0.97580628570957573</c:v>
                </c:pt>
                <c:pt idx="115">
                  <c:v>0.97727253473574971</c:v>
                </c:pt>
                <c:pt idx="116">
                  <c:v>0.9786631682805641</c:v>
                </c:pt>
                <c:pt idx="117">
                  <c:v>0.97998116215053055</c:v>
                </c:pt>
                <c:pt idx="118">
                  <c:v>0.98122943580357069</c:v>
                </c:pt>
                <c:pt idx="119">
                  <c:v>0.98241084933943745</c:v>
                </c:pt>
                <c:pt idx="120">
                  <c:v>0.98352820081112868</c:v>
                </c:pt>
                <c:pt idx="121">
                  <c:v>0.98458422384937339</c:v>
                </c:pt>
                <c:pt idx="122">
                  <c:v>0.98558158559140963</c:v>
                </c:pt>
                <c:pt idx="123">
                  <c:v>0.98652288490451201</c:v>
                </c:pt>
                <c:pt idx="124">
                  <c:v>0.98741065089404267</c:v>
                </c:pt>
                <c:pt idx="125">
                  <c:v>0.98824734168520656</c:v>
                </c:pt>
                <c:pt idx="126">
                  <c:v>0.98903534346718336</c:v>
                </c:pt>
                <c:pt idx="127">
                  <c:v>0.98977696978788166</c:v>
                </c:pt>
                <c:pt idx="128">
                  <c:v>0.99047446108721438</c:v>
                </c:pt>
                <c:pt idx="129">
                  <c:v>0.99112998445652667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82-422C-89B5-5A75F39C3585}"/>
            </c:ext>
          </c:extLst>
        </c:ser>
        <c:ser>
          <c:idx val="3"/>
          <c:order val="3"/>
          <c:tx>
            <c:strRef>
              <c:f>データ!$B$1</c:f>
              <c:strCache>
                <c:ptCount val="1"/>
                <c:pt idx="0">
                  <c:v>全損率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データ!$A$2:$A$7</c:f>
              <c:numCache>
                <c:formatCode>General</c:formatCode>
                <c:ptCount val="6"/>
                <c:pt idx="0">
                  <c:v>1</c:v>
                </c:pt>
                <c:pt idx="1">
                  <c:v>1.95</c:v>
                </c:pt>
                <c:pt idx="2">
                  <c:v>3.95</c:v>
                </c:pt>
                <c:pt idx="3">
                  <c:v>5.95</c:v>
                </c:pt>
                <c:pt idx="4">
                  <c:v>10</c:v>
                </c:pt>
                <c:pt idx="5">
                  <c:v>13</c:v>
                </c:pt>
              </c:numCache>
            </c:numRef>
          </c:xVal>
          <c:yVal>
            <c:numRef>
              <c:f>データ!$E$2:$E$7</c:f>
              <c:numCache>
                <c:formatCode>0.00_);[Red]\(0.00\)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0.3</c:v>
                </c:pt>
                <c:pt idx="4">
                  <c:v>0.39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82-422C-89B5-5A75F39C3585}"/>
            </c:ext>
          </c:extLst>
        </c:ser>
        <c:ser>
          <c:idx val="4"/>
          <c:order val="4"/>
          <c:tx>
            <c:strRef>
              <c:f>データ!$B$1:$C$1</c:f>
              <c:strCache>
                <c:ptCount val="1"/>
                <c:pt idx="0">
                  <c:v>全損率 へこみ(重度)以上率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データ!$A$2:$A$21</c:f>
              <c:numCache>
                <c:formatCode>General</c:formatCode>
                <c:ptCount val="20"/>
                <c:pt idx="0">
                  <c:v>1</c:v>
                </c:pt>
                <c:pt idx="1">
                  <c:v>1.95</c:v>
                </c:pt>
                <c:pt idx="2">
                  <c:v>3.95</c:v>
                </c:pt>
                <c:pt idx="3">
                  <c:v>5.95</c:v>
                </c:pt>
                <c:pt idx="4">
                  <c:v>10</c:v>
                </c:pt>
                <c:pt idx="5">
                  <c:v>13</c:v>
                </c:pt>
              </c:numCache>
            </c:numRef>
          </c:xVal>
          <c:yVal>
            <c:numRef>
              <c:f>データ!$F$2:$F$21</c:f>
              <c:numCache>
                <c:formatCode>0.00_);[Red]\(0.00\)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0.79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482-422C-89B5-5A75F39C3585}"/>
            </c:ext>
          </c:extLst>
        </c:ser>
        <c:ser>
          <c:idx val="5"/>
          <c:order val="5"/>
          <c:tx>
            <c:strRef>
              <c:f>データ!$D$1</c:f>
              <c:strCache>
                <c:ptCount val="1"/>
                <c:pt idx="0">
                  <c:v>へこみ(軽度)以上率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データ!$A$2:$A$21</c:f>
              <c:numCache>
                <c:formatCode>General</c:formatCode>
                <c:ptCount val="20"/>
                <c:pt idx="0">
                  <c:v>1</c:v>
                </c:pt>
                <c:pt idx="1">
                  <c:v>1.95</c:v>
                </c:pt>
                <c:pt idx="2">
                  <c:v>3.95</c:v>
                </c:pt>
                <c:pt idx="3">
                  <c:v>5.95</c:v>
                </c:pt>
                <c:pt idx="4">
                  <c:v>10</c:v>
                </c:pt>
                <c:pt idx="5">
                  <c:v>13</c:v>
                </c:pt>
              </c:numCache>
            </c:numRef>
          </c:xVal>
          <c:yVal>
            <c:numRef>
              <c:f>データ!$G$2:$G$21</c:f>
              <c:numCache>
                <c:formatCode>0.00_);[Red]\(0.00\)</c:formatCode>
                <c:ptCount val="20"/>
                <c:pt idx="0">
                  <c:v>0</c:v>
                </c:pt>
                <c:pt idx="1">
                  <c:v>0.18</c:v>
                </c:pt>
                <c:pt idx="2">
                  <c:v>0.54</c:v>
                </c:pt>
                <c:pt idx="3">
                  <c:v>0.85</c:v>
                </c:pt>
                <c:pt idx="4">
                  <c:v>0.9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82-422C-89B5-5A75F39C3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02088"/>
        <c:axId val="807499136"/>
      </c:scatterChart>
      <c:valAx>
        <c:axId val="807502088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99136"/>
        <c:crosses val="autoZero"/>
        <c:crossBetween val="midCat"/>
      </c:valAx>
      <c:valAx>
        <c:axId val="807499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502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'5_損失率曲線'!$I$5</c:f>
              <c:strCache>
                <c:ptCount val="1"/>
                <c:pt idx="0">
                  <c:v>損失率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'5_損失率曲線'!$A$6:$A$205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8.3999999999999897</c:v>
                </c:pt>
                <c:pt idx="84">
                  <c:v>8.4999999999999893</c:v>
                </c:pt>
                <c:pt idx="85">
                  <c:v>8.5999999999999908</c:v>
                </c:pt>
                <c:pt idx="86">
                  <c:v>8.6999999999999904</c:v>
                </c:pt>
                <c:pt idx="87">
                  <c:v>8.7999999999999901</c:v>
                </c:pt>
                <c:pt idx="88">
                  <c:v>8.8999999999999897</c:v>
                </c:pt>
                <c:pt idx="89">
                  <c:v>8.9999999999999893</c:v>
                </c:pt>
                <c:pt idx="90">
                  <c:v>9.0999999999999908</c:v>
                </c:pt>
                <c:pt idx="91">
                  <c:v>9.1999999999999904</c:v>
                </c:pt>
                <c:pt idx="92">
                  <c:v>9.2999999999999901</c:v>
                </c:pt>
                <c:pt idx="93">
                  <c:v>9.3999999999999897</c:v>
                </c:pt>
                <c:pt idx="94">
                  <c:v>9.4999999999999893</c:v>
                </c:pt>
                <c:pt idx="95">
                  <c:v>9.5999999999999908</c:v>
                </c:pt>
                <c:pt idx="96">
                  <c:v>9.6999999999999904</c:v>
                </c:pt>
                <c:pt idx="97">
                  <c:v>9.7999999999999901</c:v>
                </c:pt>
                <c:pt idx="98">
                  <c:v>9.8999999999999897</c:v>
                </c:pt>
                <c:pt idx="99">
                  <c:v>9.9999999999999893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xVal>
          <c:yVal>
            <c:numRef>
              <c:f>'5_損失率曲線'!$I$6:$I$205</c:f>
              <c:numCache>
                <c:formatCode>General</c:formatCode>
                <c:ptCount val="200"/>
                <c:pt idx="0">
                  <c:v>7.4777783046487148E-2</c:v>
                </c:pt>
                <c:pt idx="1">
                  <c:v>7.7814247430069358E-2</c:v>
                </c:pt>
                <c:pt idx="2">
                  <c:v>8.094149714839538E-2</c:v>
                </c:pt>
                <c:pt idx="3">
                  <c:v>8.416051346996109E-2</c:v>
                </c:pt>
                <c:pt idx="4">
                  <c:v>8.7472203603355003E-2</c:v>
                </c:pt>
                <c:pt idx="5">
                  <c:v>9.0877397209749772E-2</c:v>
                </c:pt>
                <c:pt idx="6">
                  <c:v>9.4376843016238263E-2</c:v>
                </c:pt>
                <c:pt idx="7">
                  <c:v>9.7971205543079753E-2</c:v>
                </c:pt>
                <c:pt idx="8">
                  <c:v>0.1016610619578034</c:v>
                </c:pt>
                <c:pt idx="9">
                  <c:v>0.10544689906893916</c:v>
                </c:pt>
                <c:pt idx="10">
                  <c:v>0.10932911047190706</c:v>
                </c:pt>
                <c:pt idx="11">
                  <c:v>0.11330799385929323</c:v>
                </c:pt>
                <c:pt idx="12">
                  <c:v>0.11738374850738136</c:v>
                </c:pt>
                <c:pt idx="13">
                  <c:v>0.12155647295038401</c:v>
                </c:pt>
                <c:pt idx="14">
                  <c:v>0.12582616285333612</c:v>
                </c:pt>
                <c:pt idx="15">
                  <c:v>0.13019270909407377</c:v>
                </c:pt>
                <c:pt idx="16">
                  <c:v>0.13465589606412218</c:v>
                </c:pt>
                <c:pt idx="17">
                  <c:v>0.13921540019766765</c:v>
                </c:pt>
                <c:pt idx="18">
                  <c:v>0.14387078873708128</c:v>
                </c:pt>
                <c:pt idx="19">
                  <c:v>0.14862151874271273</c:v>
                </c:pt>
                <c:pt idx="20">
                  <c:v>0.15346693635386904</c:v>
                </c:pt>
                <c:pt idx="21">
                  <c:v>0.15840627630705417</c:v>
                </c:pt>
                <c:pt idx="22">
                  <c:v>0.1634386617166611</c:v>
                </c:pt>
                <c:pt idx="23">
                  <c:v>0.1685631041223917</c:v>
                </c:pt>
                <c:pt idx="24">
                  <c:v>0.17377850380673274</c:v>
                </c:pt>
                <c:pt idx="25">
                  <c:v>0.17908365038483887</c:v>
                </c:pt>
                <c:pt idx="26">
                  <c:v>0.18447722366817995</c:v>
                </c:pt>
                <c:pt idx="27">
                  <c:v>0.18995779480229297</c:v>
                </c:pt>
                <c:pt idx="28">
                  <c:v>0.19552382767795501</c:v>
                </c:pt>
                <c:pt idx="29">
                  <c:v>0.20117368061405858</c:v>
                </c:pt>
                <c:pt idx="30">
                  <c:v>0.20690560830943672</c:v>
                </c:pt>
                <c:pt idx="31">
                  <c:v>0.21271776405985224</c:v>
                </c:pt>
                <c:pt idx="32">
                  <c:v>0.21860820223534258</c:v>
                </c:pt>
                <c:pt idx="33">
                  <c:v>0.22457488101210207</c:v>
                </c:pt>
                <c:pt idx="34">
                  <c:v>0.23061566535209152</c:v>
                </c:pt>
                <c:pt idx="35">
                  <c:v>0.23672833022260006</c:v>
                </c:pt>
                <c:pt idx="36">
                  <c:v>0.24291056404704459</c:v>
                </c:pt>
                <c:pt idx="37">
                  <c:v>0.2491599723773896</c:v>
                </c:pt>
                <c:pt idx="38">
                  <c:v>0.25547408177770353</c:v>
                </c:pt>
                <c:pt idx="39">
                  <c:v>0.26185034390754719</c:v>
                </c:pt>
                <c:pt idx="40">
                  <c:v>0.26828613979311211</c:v>
                </c:pt>
                <c:pt idx="41">
                  <c:v>0.27477878427330593</c:v>
                </c:pt>
                <c:pt idx="42">
                  <c:v>0.2813255306073088</c:v>
                </c:pt>
                <c:pt idx="43">
                  <c:v>0.28792357522951872</c:v>
                </c:pt>
                <c:pt idx="44">
                  <c:v>0.29457006263724861</c:v>
                </c:pt>
                <c:pt idx="45">
                  <c:v>0.30126209039605822</c:v>
                </c:pt>
                <c:pt idx="46">
                  <c:v>0.30799671424717862</c:v>
                </c:pt>
                <c:pt idx="47">
                  <c:v>0.31477095330114097</c:v>
                </c:pt>
                <c:pt idx="48">
                  <c:v>0.32158179530143671</c:v>
                </c:pt>
                <c:pt idx="49">
                  <c:v>0.3284262019418272</c:v>
                </c:pt>
                <c:pt idx="50">
                  <c:v>0.33530111422078207</c:v>
                </c:pt>
                <c:pt idx="51">
                  <c:v>0.34220345781645811</c:v>
                </c:pt>
                <c:pt idx="52">
                  <c:v>0.34913014846563711</c:v>
                </c:pt>
                <c:pt idx="53">
                  <c:v>0.35607809733011792</c:v>
                </c:pt>
                <c:pt idx="54">
                  <c:v>0.36304421633420347</c:v>
                </c:pt>
                <c:pt idx="55">
                  <c:v>0.3700254234571449</c:v>
                </c:pt>
                <c:pt idx="56">
                  <c:v>0.37701864796468482</c:v>
                </c:pt>
                <c:pt idx="57">
                  <c:v>0.38402083556419708</c:v>
                </c:pt>
                <c:pt idx="58">
                  <c:v>0.39102895346833322</c:v>
                </c:pt>
                <c:pt idx="59">
                  <c:v>0.39803999535256041</c:v>
                </c:pt>
                <c:pt idx="60">
                  <c:v>0.40505098619251101</c:v>
                </c:pt>
                <c:pt idx="61">
                  <c:v>0.41205898696765142</c:v>
                </c:pt>
                <c:pt idx="62">
                  <c:v>0.41906109921841705</c:v>
                </c:pt>
                <c:pt idx="63">
                  <c:v>0.42605446944464853</c:v>
                </c:pt>
                <c:pt idx="64">
                  <c:v>0.43303629333389465</c:v>
                </c:pt>
                <c:pt idx="65">
                  <c:v>0.44000381980891679</c:v>
                </c:pt>
                <c:pt idx="66">
                  <c:v>0.44695435488453872</c:v>
                </c:pt>
                <c:pt idx="67">
                  <c:v>0.45388526532481521</c:v>
                </c:pt>
                <c:pt idx="68">
                  <c:v>0.46079398209236533</c:v>
                </c:pt>
                <c:pt idx="69">
                  <c:v>0.46767800358259004</c:v>
                </c:pt>
                <c:pt idx="70">
                  <c:v>0.4745348986364043</c:v>
                </c:pt>
                <c:pt idx="71">
                  <c:v>0.48136230932602153</c:v>
                </c:pt>
                <c:pt idx="72">
                  <c:v>0.48815795350925412</c:v>
                </c:pt>
                <c:pt idx="73">
                  <c:v>0.49491962714871685</c:v>
                </c:pt>
                <c:pt idx="74">
                  <c:v>0.50164520639324384</c:v>
                </c:pt>
                <c:pt idx="75">
                  <c:v>0.50833264941974954</c:v>
                </c:pt>
                <c:pt idx="76">
                  <c:v>0.51497999803467176</c:v>
                </c:pt>
                <c:pt idx="77">
                  <c:v>0.52158537903502766</c:v>
                </c:pt>
                <c:pt idx="78">
                  <c:v>0.52814700532999381</c:v>
                </c:pt>
                <c:pt idx="79">
                  <c:v>0.53466317682477049</c:v>
                </c:pt>
                <c:pt idx="80">
                  <c:v>0.54113228106932643</c:v>
                </c:pt>
                <c:pt idx="81">
                  <c:v>0.5475527936754121</c:v>
                </c:pt>
                <c:pt idx="82">
                  <c:v>0.55392327850600631</c:v>
                </c:pt>
                <c:pt idx="83">
                  <c:v>0.56024238764208667</c:v>
                </c:pt>
                <c:pt idx="84">
                  <c:v>0.56650886113232113</c:v>
                </c:pt>
                <c:pt idx="85">
                  <c:v>0.57272152653191577</c:v>
                </c:pt>
                <c:pt idx="86">
                  <c:v>0.57887929823749051</c:v>
                </c:pt>
                <c:pt idx="87">
                  <c:v>0.58498117662540894</c:v>
                </c:pt>
                <c:pt idx="88">
                  <c:v>0.5910262470015164</c:v>
                </c:pt>
                <c:pt idx="89">
                  <c:v>0.59701367837072405</c:v>
                </c:pt>
                <c:pt idx="90">
                  <c:v>0.60294272203529997</c:v>
                </c:pt>
                <c:pt idx="91">
                  <c:v>0.60881271003111737</c:v>
                </c:pt>
                <c:pt idx="92">
                  <c:v>0.61462305341143897</c:v>
                </c:pt>
                <c:pt idx="93">
                  <c:v>0.6203732403881016</c:v>
                </c:pt>
                <c:pt idx="94">
                  <c:v>0.62606283434020282</c:v>
                </c:pt>
                <c:pt idx="95">
                  <c:v>0.63169147170057616</c:v>
                </c:pt>
                <c:pt idx="96">
                  <c:v>0.6372588597304798</c:v>
                </c:pt>
                <c:pt idx="97">
                  <c:v>0.64276477419302069</c:v>
                </c:pt>
                <c:pt idx="98">
                  <c:v>0.64820905693587361</c:v>
                </c:pt>
                <c:pt idx="99">
                  <c:v>0.65359161339385985</c:v>
                </c:pt>
                <c:pt idx="100">
                  <c:v>0.6589124100219097</c:v>
                </c:pt>
                <c:pt idx="101">
                  <c:v>0.66417147166883872</c:v>
                </c:pt>
                <c:pt idx="102">
                  <c:v>0.66936887890225849</c:v>
                </c:pt>
                <c:pt idx="103">
                  <c:v>0.67450476529475822</c:v>
                </c:pt>
                <c:pt idx="104">
                  <c:v>0.67957931468131405</c:v>
                </c:pt>
                <c:pt idx="105">
                  <c:v>0.68459275839763334</c:v>
                </c:pt>
                <c:pt idx="106">
                  <c:v>0.68954537250888803</c:v>
                </c:pt>
                <c:pt idx="107">
                  <c:v>0.69443747503798481</c:v>
                </c:pt>
                <c:pt idx="108">
                  <c:v>0.69926942320220498</c:v>
                </c:pt>
                <c:pt idx="109">
                  <c:v>0.70404161066669768</c:v>
                </c:pt>
                <c:pt idx="110">
                  <c:v>0.70875446482293647</c:v>
                </c:pt>
                <c:pt idx="111">
                  <c:v>0.71340844409986637</c:v>
                </c:pt>
                <c:pt idx="112">
                  <c:v>0.7180040353150583</c:v>
                </c:pt>
                <c:pt idx="113">
                  <c:v>0.72254175107276342</c:v>
                </c:pt>
                <c:pt idx="114">
                  <c:v>0.7270221272153351</c:v>
                </c:pt>
                <c:pt idx="115">
                  <c:v>0.73144572033403099</c:v>
                </c:pt>
                <c:pt idx="116">
                  <c:v>0.73581310534476507</c:v>
                </c:pt>
                <c:pt idx="117">
                  <c:v>0.74012487313392039</c:v>
                </c:pt>
                <c:pt idx="118">
                  <c:v>0.744381628278872</c:v>
                </c:pt>
                <c:pt idx="119">
                  <c:v>0.74858398684741223</c:v>
                </c:pt>
                <c:pt idx="120">
                  <c:v>0.75273257427980889</c:v>
                </c:pt>
                <c:pt idx="121">
                  <c:v>0.75682802335677546</c:v>
                </c:pt>
                <c:pt idx="122">
                  <c:v>0.76087097225617684</c:v>
                </c:pt>
                <c:pt idx="123">
                  <c:v>0.76486206270085466</c:v>
                </c:pt>
                <c:pt idx="124">
                  <c:v>0.76880193819952281</c:v>
                </c:pt>
                <c:pt idx="125">
                  <c:v>0.77269124238225384</c:v>
                </c:pt>
                <c:pt idx="126">
                  <c:v>0.77653061743167306</c:v>
                </c:pt>
                <c:pt idx="127">
                  <c:v>0.78032070261056752</c:v>
                </c:pt>
                <c:pt idx="128">
                  <c:v>0.78406213288624316</c:v>
                </c:pt>
                <c:pt idx="129">
                  <c:v>0.78775553765158501</c:v>
                </c:pt>
                <c:pt idx="130">
                  <c:v>0.79140153954242587</c:v>
                </c:pt>
                <c:pt idx="131">
                  <c:v>0.79500075335049281</c:v>
                </c:pt>
                <c:pt idx="132">
                  <c:v>0.79855378503088192</c:v>
                </c:pt>
                <c:pt idx="133">
                  <c:v>0.80206123080271152</c:v>
                </c:pt>
                <c:pt idx="134">
                  <c:v>0.80552367634132549</c:v>
                </c:pt>
                <c:pt idx="135">
                  <c:v>0.80894169606015487</c:v>
                </c:pt>
                <c:pt idx="136">
                  <c:v>0.81231585248010418</c:v>
                </c:pt>
                <c:pt idx="137">
                  <c:v>0.81564669568410952</c:v>
                </c:pt>
                <c:pt idx="138">
                  <c:v>0.81893476285431044</c:v>
                </c:pt>
                <c:pt idx="139">
                  <c:v>0.82218057788909649</c:v>
                </c:pt>
                <c:pt idx="140">
                  <c:v>0.82538465109712711</c:v>
                </c:pt>
                <c:pt idx="141">
                  <c:v>0.82854747896528003</c:v>
                </c:pt>
                <c:pt idx="142">
                  <c:v>0.83166954399735615</c:v>
                </c:pt>
                <c:pt idx="143">
                  <c:v>0.83475131462027041</c:v>
                </c:pt>
                <c:pt idx="144">
                  <c:v>0.83779324515436193</c:v>
                </c:pt>
                <c:pt idx="145">
                  <c:v>0.84079577584439436</c:v>
                </c:pt>
                <c:pt idx="146">
                  <c:v>0.84375933294776162</c:v>
                </c:pt>
                <c:pt idx="147">
                  <c:v>0.84668432887637779</c:v>
                </c:pt>
                <c:pt idx="148">
                  <c:v>0.84957116238871266</c:v>
                </c:pt>
                <c:pt idx="149">
                  <c:v>0.85242021882842656</c:v>
                </c:pt>
                <c:pt idx="150">
                  <c:v>0.85523187040606885</c:v>
                </c:pt>
                <c:pt idx="151">
                  <c:v>0.85800647652032735</c:v>
                </c:pt>
                <c:pt idx="152">
                  <c:v>0.86074438411535392</c:v>
                </c:pt>
                <c:pt idx="153">
                  <c:v>0.86344592807073206</c:v>
                </c:pt>
                <c:pt idx="154">
                  <c:v>0.86611143162072179</c:v>
                </c:pt>
                <c:pt idx="155">
                  <c:v>0.86874120679947731</c:v>
                </c:pt>
                <c:pt idx="156">
                  <c:v>0.87133555490901637</c:v>
                </c:pt>
                <c:pt idx="157">
                  <c:v>0.87389476700680457</c:v>
                </c:pt>
                <c:pt idx="158">
                  <c:v>0.87641912440991709</c:v>
                </c:pt>
                <c:pt idx="159">
                  <c:v>0.87890889921283621</c:v>
                </c:pt>
                <c:pt idx="160">
                  <c:v>0.88136435481605657</c:v>
                </c:pt>
                <c:pt idx="161">
                  <c:v>0.88378574646278085</c:v>
                </c:pt>
                <c:pt idx="162">
                  <c:v>0.88617332178110486</c:v>
                </c:pt>
                <c:pt idx="163">
                  <c:v>0.88852732132921752</c:v>
                </c:pt>
                <c:pt idx="164">
                  <c:v>0.89084797914126079</c:v>
                </c:pt>
                <c:pt idx="165">
                  <c:v>0.89313552327162404</c:v>
                </c:pt>
                <c:pt idx="166">
                  <c:v>0.89539017633557716</c:v>
                </c:pt>
                <c:pt idx="167">
                  <c:v>0.8976121560442738</c:v>
                </c:pt>
                <c:pt idx="168">
                  <c:v>0.89980167573228931</c:v>
                </c:pt>
                <c:pt idx="169">
                  <c:v>0.9019589448759846</c:v>
                </c:pt>
                <c:pt idx="170">
                  <c:v>0.90408416960111915</c:v>
                </c:pt>
                <c:pt idx="171">
                  <c:v>0.90617755317826576</c:v>
                </c:pt>
                <c:pt idx="172">
                  <c:v>0.9082392965047007</c:v>
                </c:pt>
                <c:pt idx="173">
                  <c:v>0.91026959857157297</c:v>
                </c:pt>
                <c:pt idx="174">
                  <c:v>0.91226865691527637</c:v>
                </c:pt>
                <c:pt idx="175">
                  <c:v>0.91423666805206583</c:v>
                </c:pt>
                <c:pt idx="176">
                  <c:v>0.91617382789507651</c:v>
                </c:pt>
                <c:pt idx="177">
                  <c:v>0.91808033215301788</c:v>
                </c:pt>
                <c:pt idx="178">
                  <c:v>0.91995637670991959</c:v>
                </c:pt>
                <c:pt idx="179">
                  <c:v>0.92180215798541709</c:v>
                </c:pt>
                <c:pt idx="180">
                  <c:v>0.92361787327515721</c:v>
                </c:pt>
                <c:pt idx="181">
                  <c:v>0.92540372107100832</c:v>
                </c:pt>
                <c:pt idx="182">
                  <c:v>0.92715990136084736</c:v>
                </c:pt>
                <c:pt idx="183">
                  <c:v>0.92888661590777954</c:v>
                </c:pt>
                <c:pt idx="184">
                  <c:v>0.9305840685087412</c:v>
                </c:pt>
                <c:pt idx="185">
                  <c:v>0.93225246523249805</c:v>
                </c:pt>
                <c:pt idx="186">
                  <c:v>0.93389201463713845</c:v>
                </c:pt>
                <c:pt idx="187">
                  <c:v>0.93550292796722201</c:v>
                </c:pt>
                <c:pt idx="188">
                  <c:v>0.9370854193308088</c:v>
                </c:pt>
                <c:pt idx="189">
                  <c:v>0.9386397058566569</c:v>
                </c:pt>
                <c:pt idx="190">
                  <c:v>0.9401660078319265</c:v>
                </c:pt>
                <c:pt idx="191">
                  <c:v>0.94166454882078243</c:v>
                </c:pt>
                <c:pt idx="192">
                  <c:v>0.94313555576432828</c:v>
                </c:pt>
                <c:pt idx="193">
                  <c:v>0.94457925906235407</c:v>
                </c:pt>
                <c:pt idx="194">
                  <c:v>0.94599589263740713</c:v>
                </c:pt>
                <c:pt idx="195">
                  <c:v>0.94738569398173622</c:v>
                </c:pt>
                <c:pt idx="196">
                  <c:v>0.9487489041876862</c:v>
                </c:pt>
                <c:pt idx="197">
                  <c:v>0.95008576796214361</c:v>
                </c:pt>
                <c:pt idx="198">
                  <c:v>0.95139653362565746</c:v>
                </c:pt>
                <c:pt idx="199">
                  <c:v>0.95268145309687813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C-421E-9C83-E18EA250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92904"/>
        <c:axId val="807489952"/>
      </c:scatterChart>
      <c:valAx>
        <c:axId val="80749290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89952"/>
        <c:crosses val="autoZero"/>
        <c:crossBetween val="midCat"/>
      </c:valAx>
      <c:valAx>
        <c:axId val="80748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9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4</xdr:row>
      <xdr:rowOff>47625</xdr:rowOff>
    </xdr:from>
    <xdr:to>
      <xdr:col>10</xdr:col>
      <xdr:colOff>500062</xdr:colOff>
      <xdr:row>15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5D10B8-AB88-4404-A014-0BF86A9F5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4</xdr:row>
      <xdr:rowOff>47625</xdr:rowOff>
    </xdr:from>
    <xdr:to>
      <xdr:col>10</xdr:col>
      <xdr:colOff>500062</xdr:colOff>
      <xdr:row>15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9C7F5A-8486-460B-B3CA-2E3B95DA8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4</xdr:row>
      <xdr:rowOff>47625</xdr:rowOff>
    </xdr:from>
    <xdr:to>
      <xdr:col>10</xdr:col>
      <xdr:colOff>500062</xdr:colOff>
      <xdr:row>15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24527F-55CB-43EC-A49C-E7B914C84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52387</xdr:rowOff>
    </xdr:from>
    <xdr:to>
      <xdr:col>13</xdr:col>
      <xdr:colOff>526676</xdr:colOff>
      <xdr:row>12</xdr:row>
      <xdr:rowOff>176212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631A1B-BDE7-4719-954A-B61F38CEF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14568</xdr:colOff>
      <xdr:row>3</xdr:row>
      <xdr:rowOff>104494</xdr:rowOff>
    </xdr:from>
    <xdr:to>
      <xdr:col>16</xdr:col>
      <xdr:colOff>479612</xdr:colOff>
      <xdr:row>14</xdr:row>
      <xdr:rowOff>225519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D92BADA-5128-45B9-B37C-2FCB10CBD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929-2E33-4910-B072-EF091AA11BB2}">
  <dimension ref="A1:G21"/>
  <sheetViews>
    <sheetView zoomScale="85" zoomScaleNormal="85" workbookViewId="0">
      <selection activeCell="B7" sqref="B7"/>
    </sheetView>
  </sheetViews>
  <sheetFormatPr defaultRowHeight="18.75" x14ac:dyDescent="0.4"/>
  <cols>
    <col min="1" max="1" width="25.625" customWidth="1"/>
    <col min="2" max="2" width="22.625" customWidth="1"/>
    <col min="3" max="3" width="27.25" bestFit="1" customWidth="1"/>
    <col min="4" max="4" width="25.125" bestFit="1" customWidth="1"/>
  </cols>
  <sheetData>
    <row r="1" spans="1:7" x14ac:dyDescent="0.4">
      <c r="A1" s="1" t="s">
        <v>22</v>
      </c>
      <c r="B1" s="1" t="s">
        <v>19</v>
      </c>
      <c r="C1" s="1" t="s">
        <v>20</v>
      </c>
      <c r="D1" s="1" t="s">
        <v>21</v>
      </c>
      <c r="E1" s="1" t="s">
        <v>2</v>
      </c>
      <c r="F1" s="1" t="s">
        <v>3</v>
      </c>
      <c r="G1" s="1" t="s">
        <v>4</v>
      </c>
    </row>
    <row r="2" spans="1:7" x14ac:dyDescent="0.4">
      <c r="A2" s="1">
        <v>1</v>
      </c>
      <c r="B2" s="2">
        <v>0</v>
      </c>
      <c r="C2" s="2">
        <v>0</v>
      </c>
      <c r="D2" s="2">
        <v>0</v>
      </c>
      <c r="E2" s="2">
        <f>B2</f>
        <v>0</v>
      </c>
      <c r="F2" s="2">
        <f t="shared" ref="F2:G2" si="0">C2</f>
        <v>0</v>
      </c>
      <c r="G2" s="2">
        <f t="shared" si="0"/>
        <v>0</v>
      </c>
    </row>
    <row r="3" spans="1:7" x14ac:dyDescent="0.4">
      <c r="A3" s="1">
        <v>1.95</v>
      </c>
      <c r="B3" s="2">
        <v>0</v>
      </c>
      <c r="C3" s="2">
        <v>0</v>
      </c>
      <c r="D3" s="2">
        <v>0.18</v>
      </c>
      <c r="E3" s="2">
        <f t="shared" ref="E3:E7" si="1">B3</f>
        <v>0</v>
      </c>
      <c r="F3" s="2">
        <f t="shared" ref="F3:F7" si="2">C3</f>
        <v>0</v>
      </c>
      <c r="G3" s="2">
        <f t="shared" ref="G3:G7" si="3">D3</f>
        <v>0.18</v>
      </c>
    </row>
    <row r="4" spans="1:7" x14ac:dyDescent="0.4">
      <c r="A4" s="1">
        <v>3.95</v>
      </c>
      <c r="B4" s="2">
        <v>0.1</v>
      </c>
      <c r="C4" s="2">
        <v>0.2</v>
      </c>
      <c r="D4" s="2">
        <v>0.54</v>
      </c>
      <c r="E4" s="2">
        <f t="shared" si="1"/>
        <v>0.1</v>
      </c>
      <c r="F4" s="2">
        <f t="shared" si="2"/>
        <v>0.2</v>
      </c>
      <c r="G4" s="2">
        <f t="shared" si="3"/>
        <v>0.54</v>
      </c>
    </row>
    <row r="5" spans="1:7" x14ac:dyDescent="0.4">
      <c r="A5" s="1">
        <v>5.95</v>
      </c>
      <c r="B5" s="2">
        <v>0.3</v>
      </c>
      <c r="C5" s="2">
        <v>0.6</v>
      </c>
      <c r="D5" s="2">
        <v>0.85</v>
      </c>
      <c r="E5" s="2">
        <f t="shared" si="1"/>
        <v>0.3</v>
      </c>
      <c r="F5" s="2">
        <f t="shared" si="2"/>
        <v>0.6</v>
      </c>
      <c r="G5" s="2">
        <f t="shared" si="3"/>
        <v>0.85</v>
      </c>
    </row>
    <row r="6" spans="1:7" x14ac:dyDescent="0.4">
      <c r="A6" s="1">
        <v>10</v>
      </c>
      <c r="B6" s="2">
        <v>0.39</v>
      </c>
      <c r="C6" s="2">
        <v>0.79</v>
      </c>
      <c r="D6" s="2">
        <v>0.9</v>
      </c>
      <c r="E6" s="2">
        <f t="shared" si="1"/>
        <v>0.39</v>
      </c>
      <c r="F6" s="2">
        <f t="shared" si="2"/>
        <v>0.79</v>
      </c>
      <c r="G6" s="2">
        <f t="shared" si="3"/>
        <v>0.9</v>
      </c>
    </row>
    <row r="7" spans="1:7" x14ac:dyDescent="0.4">
      <c r="A7" s="1">
        <v>13</v>
      </c>
      <c r="B7" s="2">
        <v>1</v>
      </c>
      <c r="C7" s="2">
        <v>1</v>
      </c>
      <c r="D7" s="2">
        <v>1</v>
      </c>
      <c r="E7" s="2">
        <f t="shared" si="1"/>
        <v>1</v>
      </c>
      <c r="F7" s="2">
        <f t="shared" si="2"/>
        <v>1</v>
      </c>
      <c r="G7" s="2">
        <f t="shared" si="3"/>
        <v>1</v>
      </c>
    </row>
    <row r="8" spans="1:7" x14ac:dyDescent="0.4">
      <c r="A8" s="1"/>
      <c r="B8" s="2"/>
      <c r="C8" s="2"/>
      <c r="D8" s="2"/>
      <c r="E8" s="1"/>
      <c r="F8" s="1"/>
      <c r="G8" s="1"/>
    </row>
    <row r="9" spans="1:7" x14ac:dyDescent="0.4">
      <c r="A9" s="1"/>
      <c r="B9" s="2"/>
      <c r="C9" s="2"/>
      <c r="D9" s="2"/>
      <c r="E9" s="1"/>
      <c r="F9" s="1"/>
      <c r="G9" s="1"/>
    </row>
    <row r="10" spans="1:7" x14ac:dyDescent="0.4">
      <c r="A10" s="1"/>
      <c r="B10" s="2"/>
      <c r="C10" s="2"/>
      <c r="D10" s="2"/>
      <c r="E10" s="1"/>
      <c r="F10" s="1"/>
      <c r="G10" s="1"/>
    </row>
    <row r="11" spans="1:7" x14ac:dyDescent="0.4">
      <c r="A11" s="1"/>
      <c r="B11" s="2"/>
      <c r="C11" s="2"/>
      <c r="D11" s="2"/>
      <c r="E11" s="1"/>
      <c r="F11" s="1"/>
      <c r="G11" s="1"/>
    </row>
    <row r="12" spans="1:7" x14ac:dyDescent="0.4">
      <c r="A12" s="1"/>
      <c r="B12" s="2"/>
      <c r="C12" s="2"/>
      <c r="D12" s="2"/>
      <c r="E12" s="1"/>
      <c r="F12" s="1"/>
      <c r="G12" s="1"/>
    </row>
    <row r="13" spans="1:7" x14ac:dyDescent="0.4">
      <c r="A13" s="1"/>
      <c r="B13" s="2"/>
      <c r="C13" s="2"/>
      <c r="D13" s="2"/>
      <c r="E13" s="1"/>
      <c r="F13" s="1"/>
      <c r="G13" s="1"/>
    </row>
    <row r="14" spans="1:7" x14ac:dyDescent="0.4">
      <c r="A14" s="1"/>
      <c r="B14" s="2"/>
      <c r="C14" s="2"/>
      <c r="D14" s="2"/>
      <c r="E14" s="1"/>
      <c r="F14" s="1"/>
      <c r="G14" s="1"/>
    </row>
    <row r="15" spans="1:7" x14ac:dyDescent="0.4">
      <c r="A15" s="1"/>
      <c r="B15" s="2"/>
      <c r="C15" s="2"/>
      <c r="D15" s="2"/>
      <c r="E15" s="1"/>
      <c r="F15" s="1"/>
      <c r="G15" s="1"/>
    </row>
    <row r="16" spans="1:7" x14ac:dyDescent="0.4">
      <c r="A16" s="1"/>
      <c r="B16" s="2"/>
      <c r="C16" s="2"/>
      <c r="D16" s="2"/>
      <c r="E16" s="1"/>
      <c r="F16" s="1"/>
      <c r="G16" s="1"/>
    </row>
    <row r="17" spans="1:7" x14ac:dyDescent="0.4">
      <c r="A17" s="1"/>
      <c r="B17" s="2"/>
      <c r="C17" s="2"/>
      <c r="D17" s="2"/>
      <c r="E17" s="1"/>
      <c r="F17" s="1"/>
      <c r="G17" s="1"/>
    </row>
    <row r="18" spans="1:7" x14ac:dyDescent="0.4">
      <c r="A18" s="1"/>
      <c r="B18" s="2"/>
      <c r="C18" s="2"/>
      <c r="D18" s="2"/>
      <c r="E18" s="1"/>
      <c r="F18" s="1"/>
      <c r="G18" s="1"/>
    </row>
    <row r="19" spans="1:7" x14ac:dyDescent="0.4">
      <c r="A19" s="1"/>
      <c r="B19" s="2"/>
      <c r="C19" s="2"/>
      <c r="D19" s="2"/>
      <c r="E19" s="1"/>
      <c r="F19" s="1"/>
      <c r="G19" s="1"/>
    </row>
    <row r="20" spans="1:7" x14ac:dyDescent="0.4">
      <c r="A20" s="1"/>
      <c r="B20" s="2"/>
      <c r="C20" s="2"/>
      <c r="D20" s="2"/>
      <c r="E20" s="1"/>
      <c r="F20" s="1"/>
      <c r="G20" s="1"/>
    </row>
    <row r="21" spans="1:7" x14ac:dyDescent="0.4">
      <c r="A21" s="1"/>
      <c r="B21" s="2"/>
      <c r="C21" s="2"/>
      <c r="D21" s="2"/>
      <c r="E21" s="1"/>
      <c r="F21" s="1"/>
      <c r="G21" s="1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3AED-58A8-4A54-8A5B-3387A99A5448}">
  <dimension ref="A1:H4"/>
  <sheetViews>
    <sheetView workbookViewId="0">
      <selection activeCell="H3" sqref="H3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11" bestFit="1" customWidth="1"/>
    <col min="7" max="7" width="12.625" customWidth="1"/>
    <col min="8" max="8" width="12.25" bestFit="1" customWidth="1"/>
  </cols>
  <sheetData>
    <row r="1" spans="1:8" x14ac:dyDescent="0.4">
      <c r="A1" s="1" t="s">
        <v>22</v>
      </c>
      <c r="B1" s="5" t="s">
        <v>2</v>
      </c>
      <c r="C1" s="1" t="s">
        <v>0</v>
      </c>
      <c r="E1" s="11" t="s">
        <v>5</v>
      </c>
      <c r="F1" s="11"/>
      <c r="G1" s="11" t="s">
        <v>8</v>
      </c>
      <c r="H1" s="11"/>
    </row>
    <row r="2" spans="1:8" x14ac:dyDescent="0.4">
      <c r="A2" s="1">
        <v>3.95</v>
      </c>
      <c r="B2" s="1">
        <v>0.1</v>
      </c>
      <c r="C2" s="3">
        <f>NORMSINV(B2)</f>
        <v>-1.2815515655446006</v>
      </c>
      <c r="E2" s="1" t="s">
        <v>6</v>
      </c>
      <c r="F2" s="1" t="s">
        <v>7</v>
      </c>
      <c r="G2" s="1" t="s">
        <v>9</v>
      </c>
      <c r="H2" s="1" t="s">
        <v>10</v>
      </c>
    </row>
    <row r="3" spans="1:8" x14ac:dyDescent="0.4">
      <c r="A3" s="1">
        <v>5.95</v>
      </c>
      <c r="B3" s="1">
        <v>0.3</v>
      </c>
      <c r="C3" s="3">
        <f t="shared" ref="C3:C4" si="0">NORMSINV(B3)</f>
        <v>-0.52440051270804089</v>
      </c>
      <c r="E3" s="1">
        <f>0.1503</f>
        <v>0.15029999999999999</v>
      </c>
      <c r="F3" s="1">
        <f>-1.6924</f>
        <v>-1.6923999999999999</v>
      </c>
      <c r="G3" s="7">
        <f>-F3/E3</f>
        <v>11.260146373918829</v>
      </c>
      <c r="H3" s="6">
        <f>1/E3</f>
        <v>6.6533599467731213</v>
      </c>
    </row>
    <row r="4" spans="1:8" x14ac:dyDescent="0.4">
      <c r="A4" s="1">
        <v>10</v>
      </c>
      <c r="B4" s="1">
        <v>0.39</v>
      </c>
      <c r="C4" s="3">
        <f t="shared" si="0"/>
        <v>-0.27931903444745415</v>
      </c>
    </row>
  </sheetData>
  <autoFilter ref="A1:B1" xr:uid="{8D013AED-58A8-4A54-8A5B-3387A99A5448}">
    <sortState xmlns:xlrd2="http://schemas.microsoft.com/office/spreadsheetml/2017/richdata2" ref="A2:B11">
      <sortCondition ref="A1"/>
    </sortState>
  </autoFilter>
  <mergeCells count="2">
    <mergeCell ref="E1:F1"/>
    <mergeCell ref="G1:H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0C5D-CB81-4796-9C19-6C38DCD0163D}">
  <dimension ref="A1:H4"/>
  <sheetViews>
    <sheetView workbookViewId="0">
      <selection activeCell="A6" sqref="A6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11" bestFit="1" customWidth="1"/>
    <col min="5" max="5" width="10" bestFit="1" customWidth="1"/>
    <col min="7" max="7" width="12.625" customWidth="1"/>
    <col min="8" max="8" width="12.25" bestFit="1" customWidth="1"/>
  </cols>
  <sheetData>
    <row r="1" spans="1:8" x14ac:dyDescent="0.4">
      <c r="A1" s="1" t="s">
        <v>1</v>
      </c>
      <c r="B1" s="4" t="s">
        <v>3</v>
      </c>
      <c r="C1" s="1" t="s">
        <v>0</v>
      </c>
      <c r="E1" s="11" t="s">
        <v>5</v>
      </c>
      <c r="F1" s="11"/>
      <c r="G1" s="11" t="s">
        <v>8</v>
      </c>
      <c r="H1" s="11"/>
    </row>
    <row r="2" spans="1:8" x14ac:dyDescent="0.4">
      <c r="A2" s="1">
        <v>3.95</v>
      </c>
      <c r="B2" s="1">
        <v>0.2</v>
      </c>
      <c r="C2" s="1">
        <f>NORMSINV(B2)</f>
        <v>-0.84162123357291452</v>
      </c>
      <c r="E2" s="1" t="s">
        <v>6</v>
      </c>
      <c r="F2" s="1" t="s">
        <v>7</v>
      </c>
      <c r="G2" s="1" t="s">
        <v>9</v>
      </c>
      <c r="H2" s="1" t="s">
        <v>10</v>
      </c>
    </row>
    <row r="3" spans="1:8" x14ac:dyDescent="0.4">
      <c r="A3" s="1">
        <v>5.95</v>
      </c>
      <c r="B3" s="1">
        <v>0.6</v>
      </c>
      <c r="C3" s="1">
        <f t="shared" ref="C3:C4" si="0">NORMSINV(B3)</f>
        <v>0.25334710313579978</v>
      </c>
      <c r="E3" s="7">
        <f>0.2526</f>
        <v>0.25259999999999999</v>
      </c>
      <c r="F3" s="1">
        <f>-1.603</f>
        <v>-1.603</v>
      </c>
      <c r="G3" s="7">
        <f>-F3/E3</f>
        <v>6.3460015835312751</v>
      </c>
      <c r="H3" s="6">
        <f>1/E3</f>
        <v>3.9588281868566906</v>
      </c>
    </row>
    <row r="4" spans="1:8" x14ac:dyDescent="0.4">
      <c r="A4" s="1">
        <v>10</v>
      </c>
      <c r="B4" s="1">
        <v>0.79</v>
      </c>
      <c r="C4" s="1">
        <f t="shared" si="0"/>
        <v>0.80642124701824058</v>
      </c>
    </row>
  </sheetData>
  <autoFilter ref="A1:B1" xr:uid="{8D013AED-58A8-4A54-8A5B-3387A99A5448}">
    <sortState xmlns:xlrd2="http://schemas.microsoft.com/office/spreadsheetml/2017/richdata2" ref="A2:C21">
      <sortCondition ref="B1"/>
    </sortState>
  </autoFilter>
  <mergeCells count="2">
    <mergeCell ref="E1:F1"/>
    <mergeCell ref="G1:H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8A49-E60F-44A8-BA04-FB60A56370AE}">
  <dimension ref="A1:H5"/>
  <sheetViews>
    <sheetView workbookViewId="0">
      <selection activeCell="B5" sqref="B5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11" bestFit="1" customWidth="1"/>
    <col min="5" max="5" width="10" bestFit="1" customWidth="1"/>
    <col min="7" max="7" width="12.625" customWidth="1"/>
    <col min="8" max="8" width="12.25" bestFit="1" customWidth="1"/>
  </cols>
  <sheetData>
    <row r="1" spans="1:8" x14ac:dyDescent="0.4">
      <c r="A1" s="1" t="s">
        <v>1</v>
      </c>
      <c r="B1" s="4" t="s">
        <v>4</v>
      </c>
      <c r="C1" s="1" t="s">
        <v>0</v>
      </c>
      <c r="E1" s="11" t="s">
        <v>5</v>
      </c>
      <c r="F1" s="11"/>
      <c r="G1" s="11" t="s">
        <v>8</v>
      </c>
      <c r="H1" s="11"/>
    </row>
    <row r="2" spans="1:8" x14ac:dyDescent="0.4">
      <c r="A2" s="1">
        <v>1.95</v>
      </c>
      <c r="B2" s="1">
        <v>0.18</v>
      </c>
      <c r="C2" s="1">
        <f>NORMSINV(B2)</f>
        <v>-0.91536508784281501</v>
      </c>
      <c r="E2" s="1" t="s">
        <v>6</v>
      </c>
      <c r="F2" s="1" t="s">
        <v>7</v>
      </c>
      <c r="G2" s="1" t="s">
        <v>9</v>
      </c>
      <c r="H2" s="1" t="s">
        <v>10</v>
      </c>
    </row>
    <row r="3" spans="1:8" x14ac:dyDescent="0.4">
      <c r="A3" s="1">
        <v>3.95</v>
      </c>
      <c r="B3" s="1">
        <v>0.54</v>
      </c>
      <c r="C3" s="1">
        <f t="shared" ref="C3:C5" si="0">NORMSINV(B3)</f>
        <v>0.10043372051146988</v>
      </c>
      <c r="E3" s="7">
        <f>0.2647</f>
        <v>0.26469999999999999</v>
      </c>
      <c r="F3" s="1">
        <f>-1.0701</f>
        <v>-1.0701000000000001</v>
      </c>
      <c r="G3" s="7">
        <f>-F3/E3</f>
        <v>4.0426898375519462</v>
      </c>
      <c r="H3" s="6">
        <f>1/E3</f>
        <v>3.7778617302606725</v>
      </c>
    </row>
    <row r="4" spans="1:8" x14ac:dyDescent="0.4">
      <c r="A4" s="1">
        <v>5.95</v>
      </c>
      <c r="B4" s="1">
        <v>0.85</v>
      </c>
      <c r="C4" s="1">
        <f t="shared" si="0"/>
        <v>1.0364333894937898</v>
      </c>
    </row>
    <row r="5" spans="1:8" x14ac:dyDescent="0.4">
      <c r="A5" s="1">
        <v>10</v>
      </c>
      <c r="B5" s="1">
        <v>0.9</v>
      </c>
      <c r="C5" s="1">
        <f t="shared" si="0"/>
        <v>1.2815515655446006</v>
      </c>
    </row>
  </sheetData>
  <autoFilter ref="A1:B1" xr:uid="{8D013AED-58A8-4A54-8A5B-3387A99A5448}">
    <sortState xmlns:xlrd2="http://schemas.microsoft.com/office/spreadsheetml/2017/richdata2" ref="A2:C21">
      <sortCondition ref="B1"/>
    </sortState>
  </autoFilter>
  <mergeCells count="2">
    <mergeCell ref="E1:F1"/>
    <mergeCell ref="G1:H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E19A-8539-4A33-A442-4F8E1A4DA0C7}">
  <dimension ref="A1:D131"/>
  <sheetViews>
    <sheetView zoomScale="85" zoomScaleNormal="85" workbookViewId="0">
      <selection activeCell="H18" sqref="H18"/>
    </sheetView>
  </sheetViews>
  <sheetFormatPr defaultRowHeight="18.75" x14ac:dyDescent="0.4"/>
  <cols>
    <col min="2" max="3" width="13.375" bestFit="1" customWidth="1"/>
    <col min="4" max="4" width="15.125" bestFit="1" customWidth="1"/>
  </cols>
  <sheetData>
    <row r="1" spans="1:4" x14ac:dyDescent="0.4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4">
      <c r="A2" s="1">
        <v>0.1</v>
      </c>
      <c r="B2" s="1">
        <f>_xlfn.NORM.S.DIST(((A2)-'1_全損率'!$G$3)/'1_全損率'!$H$3, TRUE)</f>
        <v>4.6735075998573961E-2</v>
      </c>
      <c r="C2" s="1">
        <f>_xlfn.NORM.S.DIST(((A2)-'2_全半壊率'!$G$3)/'2_全半壊率'!$H$3, TRUE)</f>
        <v>5.7312676443212113E-2</v>
      </c>
      <c r="D2" s="1">
        <f>_xlfn.NORM.S.DIST(((A2)-'3_一部損壊以上率'!$G$3)/'3_一部損壊以上率'!$H$3, TRUE)</f>
        <v>0.14832830374558856</v>
      </c>
    </row>
    <row r="3" spans="1:4" x14ac:dyDescent="0.4">
      <c r="A3" s="1">
        <v>0.2</v>
      </c>
      <c r="B3" s="1">
        <f>_xlfn.NORM.S.DIST(((A3)-'1_全損率'!$G$3)/'1_全損率'!$H$3, TRUE)</f>
        <v>4.8222310927144213E-2</v>
      </c>
      <c r="C3" s="1">
        <f>_xlfn.NORM.S.DIST(((A3)-'2_全半壊率'!$G$3)/'2_全半壊率'!$H$3, TRUE)</f>
        <v>6.0273707282379664E-2</v>
      </c>
      <c r="D3" s="1">
        <f>_xlfn.NORM.S.DIST(((A3)-'3_一部損壊以上率'!$G$3)/'3_一部損壊以上率'!$H$3, TRUE)</f>
        <v>0.15453866058360935</v>
      </c>
    </row>
    <row r="4" spans="1:4" x14ac:dyDescent="0.4">
      <c r="A4" s="1">
        <v>0.3</v>
      </c>
      <c r="B4" s="1">
        <f>_xlfn.NORM.S.DIST(((A4)-'1_全損率'!$G$3)/'1_全損率'!$H$3, TRUE)</f>
        <v>4.9747171751446877E-2</v>
      </c>
      <c r="C4" s="1">
        <f>_xlfn.NORM.S.DIST(((A4)-'2_全半壊率'!$G$3)/'2_全半壊率'!$H$3, TRUE)</f>
        <v>6.33531573263693E-2</v>
      </c>
      <c r="D4" s="1">
        <f>_xlfn.NORM.S.DIST(((A4)-'3_一部損壊以上率'!$G$3)/'3_一部損壊以上率'!$H$3, TRUE)</f>
        <v>0.1609184877643185</v>
      </c>
    </row>
    <row r="5" spans="1:4" x14ac:dyDescent="0.4">
      <c r="A5" s="1">
        <v>0.4</v>
      </c>
      <c r="B5" s="1">
        <f>_xlfn.NORM.S.DIST(((A5)-'1_全損率'!$G$3)/'1_全損率'!$H$3, TRUE)</f>
        <v>5.1310257241944539E-2</v>
      </c>
      <c r="C5" s="1">
        <f>_xlfn.NORM.S.DIST(((A5)-'2_全半壊率'!$G$3)/'2_全半壊率'!$H$3, TRUE)</f>
        <v>6.6553719744191886E-2</v>
      </c>
      <c r="D5" s="1">
        <f>_xlfn.NORM.S.DIST(((A5)-'3_一部損壊以上率'!$G$3)/'3_一部損壊以上率'!$H$3, TRUE)</f>
        <v>0.16746781965176338</v>
      </c>
    </row>
    <row r="6" spans="1:4" x14ac:dyDescent="0.4">
      <c r="A6" s="1">
        <v>0.5</v>
      </c>
      <c r="B6" s="1">
        <f>_xlfn.NORM.S.DIST(((A6)-'1_全損率'!$G$3)/'1_全損率'!$H$3, TRUE)</f>
        <v>5.2912163694736378E-2</v>
      </c>
      <c r="C6" s="1">
        <f>_xlfn.NORM.S.DIST(((A6)-'2_全半壊率'!$G$3)/'2_全半壊率'!$H$3, TRUE)</f>
        <v>6.9878036088698539E-2</v>
      </c>
      <c r="D6" s="1">
        <f>_xlfn.NORM.S.DIST(((A6)-'3_一部損壊以上率'!$G$3)/'3_一部損壊以上率'!$H$3, TRUE)</f>
        <v>0.1741864509352487</v>
      </c>
    </row>
    <row r="7" spans="1:4" x14ac:dyDescent="0.4">
      <c r="A7" s="1">
        <v>0.6</v>
      </c>
      <c r="B7" s="1">
        <f>_xlfn.NORM.S.DIST(((A7)-'1_全損率'!$G$3)/'1_全損率'!$H$3, TRUE)</f>
        <v>5.455348446075077E-2</v>
      </c>
      <c r="C7" s="1">
        <f>_xlfn.NORM.S.DIST(((A7)-'2_全半壊率'!$G$3)/'2_全半壊率'!$H$3, TRUE)</f>
        <v>7.3328689131768904E-2</v>
      </c>
      <c r="D7" s="1">
        <f>_xlfn.NORM.S.DIST(((A7)-'3_一部損壊以上率'!$G$3)/'3_一部損壊以上率'!$H$3, TRUE)</f>
        <v>0.18107393078572862</v>
      </c>
    </row>
    <row r="8" spans="1:4" x14ac:dyDescent="0.4">
      <c r="A8" s="1">
        <v>0.7</v>
      </c>
      <c r="B8" s="1">
        <f>_xlfn.NORM.S.DIST(((A8)-'1_全損率'!$G$3)/'1_全損率'!$H$3, TRUE)</f>
        <v>5.6234809465939679E-2</v>
      </c>
      <c r="C8" s="1">
        <f>_xlfn.NORM.S.DIST(((A8)-'2_全半壊率'!$G$3)/'2_全半壊率'!$H$3, TRUE)</f>
        <v>7.690819557534781E-2</v>
      </c>
      <c r="D8" s="1">
        <f>_xlfn.NORM.S.DIST(((A8)-'3_一部損壊以上率'!$G$3)/'3_一部損壊以上率'!$H$3, TRUE)</f>
        <v>0.1881295575577259</v>
      </c>
    </row>
    <row r="9" spans="1:4" x14ac:dyDescent="0.4">
      <c r="A9" s="1">
        <v>0.8</v>
      </c>
      <c r="B9" s="1">
        <f>_xlfn.NORM.S.DIST(((A9)-'1_全損率'!$G$3)/'1_全損率'!$H$3, TRUE)</f>
        <v>5.7956724722801285E-2</v>
      </c>
      <c r="C9" s="1">
        <f>_xlfn.NORM.S.DIST(((A9)-'2_全半壊率'!$G$3)/'2_全半壊率'!$H$3, TRUE)</f>
        <v>8.0618998657253874E-2</v>
      </c>
      <c r="D9" s="1">
        <f>_xlfn.NORM.S.DIST(((A9)-'3_一部損壊以上率'!$G$3)/'3_一部損壊以上率'!$H$3, TRUE)</f>
        <v>0.19535237406946254</v>
      </c>
    </row>
    <row r="10" spans="1:4" x14ac:dyDescent="0.4">
      <c r="A10" s="1">
        <v>0.9</v>
      </c>
      <c r="B10" s="1">
        <f>_xlfn.NORM.S.DIST(((A10)-'1_全損率'!$G$3)/'1_全損率'!$H$3, TRUE)</f>
        <v>5.9719811833575359E-2</v>
      </c>
      <c r="C10" s="1">
        <f>_xlfn.NORM.S.DIST(((A10)-'2_全半壊率'!$G$3)/'2_全半壊率'!$H$3, TRUE)</f>
        <v>8.4463460671814386E-2</v>
      </c>
      <c r="D10" s="1">
        <f>_xlfn.NORM.S.DIST(((A10)-'3_一部損壊以上率'!$G$3)/'3_一部損壊以上率'!$H$3, TRUE)</f>
        <v>0.20274116349224849</v>
      </c>
    </row>
    <row r="11" spans="1:4" x14ac:dyDescent="0.4">
      <c r="A11" s="1">
        <v>1</v>
      </c>
      <c r="B11" s="1">
        <f>_xlfn.NORM.S.DIST(((A11)-'1_全損率'!$G$3)/'1_全損率'!$H$3, TRUE)</f>
        <v>6.1524647485478361E-2</v>
      </c>
      <c r="C11" s="1">
        <f>_xlfn.NORM.S.DIST(((A11)-'2_全半壊率'!$G$3)/'2_全半壊率'!$H$3, TRUE)</f>
        <v>8.8443855426457219E-2</v>
      </c>
      <c r="D11" s="1">
        <f>_xlfn.NORM.S.DIST(((A11)-'3_一部損壊以上率'!$G$3)/'3_一部損壊以上率'!$H$3, TRUE)</f>
        <v>0.21029444587834267</v>
      </c>
    </row>
    <row r="12" spans="1:4" x14ac:dyDescent="0.4">
      <c r="A12" s="1">
        <v>1.1000000000000001</v>
      </c>
      <c r="B12" s="1">
        <f>_xlfn.NORM.S.DIST(((A12)-'1_全損率'!$G$3)/'1_全損率'!$H$3, TRUE)</f>
        <v>6.3371802938364141E-2</v>
      </c>
      <c r="C12" s="1">
        <f>_xlfn.NORM.S.DIST(((A12)-'2_全半壊率'!$G$3)/'2_全半壊率'!$H$3, TRUE)</f>
        <v>9.2562360656421136E-2</v>
      </c>
      <c r="D12" s="1">
        <f>_xlfn.NORM.S.DIST(((A12)-'3_一部損壊以上率'!$G$3)/'3_一部損壊以上率'!$H$3, TRUE)</f>
        <v>0.21801047535447879</v>
      </c>
    </row>
    <row r="13" spans="1:4" x14ac:dyDescent="0.4">
      <c r="A13" s="1">
        <v>1.2</v>
      </c>
      <c r="B13" s="1">
        <f>_xlfn.NORM.S.DIST(((A13)-'1_全損率'!$G$3)/'1_全損率'!$H$3, TRUE)</f>
        <v>6.526184350521369E-2</v>
      </c>
      <c r="C13" s="1">
        <f>_xlfn.NORM.S.DIST(((A13)-'2_全半壊率'!$G$3)/'2_全半壊率'!$H$3, TRUE)</f>
        <v>9.6821050420700133E-2</v>
      </c>
      <c r="D13" s="1">
        <f>_xlfn.NORM.S.DIST(((A13)-'3_一部損壊以上率'!$G$3)/'3_一部損壊以上率'!$H$3, TRUE)</f>
        <v>0.2258872380060454</v>
      </c>
    </row>
    <row r="14" spans="1:4" x14ac:dyDescent="0.4">
      <c r="A14" s="1">
        <v>1.3</v>
      </c>
      <c r="B14" s="1">
        <f>_xlfn.NORM.S.DIST(((A14)-'1_全損率'!$G$3)/'1_全損率'!$H$3, TRUE)</f>
        <v>6.7195328025880574E-2</v>
      </c>
      <c r="C14" s="1">
        <f>_xlfn.NORM.S.DIST(((A14)-'2_全半壊率'!$G$3)/'2_全半壊率'!$H$3, TRUE)</f>
        <v>0.10122188750323267</v>
      </c>
      <c r="D14" s="1">
        <f>_xlfn.NORM.S.DIST(((A14)-'3_一部損壊以上率'!$G$3)/'3_一部損壊以上率'!$H$3, TRUE)</f>
        <v>0.23392245047453158</v>
      </c>
    </row>
    <row r="15" spans="1:4" x14ac:dyDescent="0.4">
      <c r="A15" s="1">
        <v>1.4</v>
      </c>
      <c r="B15" s="1">
        <f>_xlfn.NORM.S.DIST(((A15)-'1_全損率'!$G$3)/'1_全損率'!$H$3, TRUE)</f>
        <v>6.9172808334534916E-2</v>
      </c>
      <c r="C15" s="1">
        <f>_xlfn.NORM.S.DIST(((A15)-'2_全半壊率'!$G$3)/'2_全半壊率'!$H$3, TRUE)</f>
        <v>0.10576671584415652</v>
      </c>
      <c r="D15" s="1">
        <f>_xlfn.NORM.S.DIST(((A15)-'3_一部損壊以上率'!$G$3)/'3_一部損壊以上率'!$H$3, TRUE)</f>
        <v>0.24211355928830969</v>
      </c>
    </row>
    <row r="16" spans="1:4" x14ac:dyDescent="0.4">
      <c r="A16" s="1">
        <v>1.5</v>
      </c>
      <c r="B16" s="1">
        <f>_xlfn.NORM.S.DIST(((A16)-'1_全損率'!$G$3)/'1_全損率'!$H$3, TRUE)</f>
        <v>7.11948287212682E-2</v>
      </c>
      <c r="C16" s="1">
        <f>_xlfn.NORM.S.DIST(((A16)-'2_全半壊率'!$G$3)/'2_全半壊率'!$H$3, TRUE)</f>
        <v>0.11045725302667826</v>
      </c>
      <c r="D16" s="1">
        <f>_xlfn.NORM.S.DIST(((A16)-'3_一部損壊以上率'!$G$3)/'3_一部損壊以上率'!$H$3, TRUE)</f>
        <v>0.25045774094412981</v>
      </c>
    </row>
    <row r="17" spans="1:4" x14ac:dyDescent="0.4">
      <c r="A17" s="1">
        <v>1.6</v>
      </c>
      <c r="B17" s="1">
        <f>_xlfn.NORM.S.DIST(((A17)-'1_全損率'!$G$3)/'1_全損率'!$H$3, TRUE)</f>
        <v>7.3261925388341698E-2</v>
      </c>
      <c r="C17" s="1">
        <f>_xlfn.NORM.S.DIST(((A17)-'2_全半壊率'!$G$3)/'2_全半壊率'!$H$3, TRUE)</f>
        <v>0.11529508284574236</v>
      </c>
      <c r="D17" s="1">
        <f>_xlfn.NORM.S.DIST(((A17)-'3_一部損壊以上率'!$G$3)/'3_一部損壊以上率'!$H$3, TRUE)</f>
        <v>0.25895190275386926</v>
      </c>
    </row>
    <row r="18" spans="1:4" x14ac:dyDescent="0.4">
      <c r="A18" s="1">
        <v>1.7</v>
      </c>
      <c r="B18" s="1">
        <f>_xlfn.NORM.S.DIST(((A18)-'1_全損率'!$G$3)/'1_全損率'!$H$3, TRUE)</f>
        <v>7.5374625901576175E-2</v>
      </c>
      <c r="C18" s="1">
        <f>_xlfn.NORM.S.DIST(((A18)-'2_全半壊率'!$G$3)/'2_全半壊率'!$H$3, TRUE)</f>
        <v>0.12028164798522423</v>
      </c>
      <c r="D18" s="1">
        <f>_xlfn.NORM.S.DIST(((A18)-'3_一部損壊以上率'!$G$3)/'3_一部損壊以上率'!$H$3, TRUE)</f>
        <v>0.26759268446811213</v>
      </c>
    </row>
    <row r="19" spans="1:4" x14ac:dyDescent="0.4">
      <c r="A19" s="1">
        <v>1.8</v>
      </c>
      <c r="B19" s="1">
        <f>_xlfn.NORM.S.DIST(((A19)-'1_全損率'!$G$3)/'1_全損率'!$H$3, TRUE)</f>
        <v>7.7533448637403038E-2</v>
      </c>
      <c r="C19" s="1">
        <f>_xlfn.NORM.S.DIST(((A19)-'2_全半壊率'!$G$3)/'2_全半壊率'!$H$3, TRUE)</f>
        <v>0.1254182428308051</v>
      </c>
      <c r="D19" s="1">
        <f>_xlfn.NORM.S.DIST(((A19)-'3_一部損壊以上率'!$G$3)/'3_一部損壊以上率'!$H$3, TRUE)</f>
        <v>0.2763764606850595</v>
      </c>
    </row>
    <row r="20" spans="1:4" x14ac:dyDescent="0.4">
      <c r="A20" s="1">
        <v>1.9</v>
      </c>
      <c r="B20" s="1">
        <f>_xlfn.NORM.S.DIST(((A20)-'1_全損率'!$G$3)/'1_全損率'!$H$3, TRUE)</f>
        <v>7.9738902226109132E-2</v>
      </c>
      <c r="C20" s="1">
        <f>_xlfn.NORM.S.DIST(((A20)-'2_全半壊率'!$G$3)/'2_全半壊率'!$H$3, TRUE)</f>
        <v>0.13070600644601219</v>
      </c>
      <c r="D20" s="1">
        <f>_xlfn.NORM.S.DIST(((A20)-'3_一部損壊以上率'!$G$3)/'3_一部損壊以上率'!$H$3, TRUE)</f>
        <v>0.28529934405009472</v>
      </c>
    </row>
    <row r="21" spans="1:4" x14ac:dyDescent="0.4">
      <c r="A21" s="1">
        <v>2</v>
      </c>
      <c r="B21" s="1">
        <f>_xlfn.NORM.S.DIST(((A21)-'1_全損率'!$G$3)/'1_全損率'!$H$3, TRUE)</f>
        <v>8.1991484991830121E-2</v>
      </c>
      <c r="C21" s="1">
        <f>_xlfn.NORM.S.DIST(((A21)-'2_全半壊率'!$G$3)/'2_全半壊率'!$H$3, TRUE)</f>
        <v>0.13614591573911972</v>
      </c>
      <c r="D21" s="1">
        <f>_xlfn.NORM.S.DIST(((A21)-'3_一部損壊以上率'!$G$3)/'3_一部損壊以上率'!$H$3, TRUE)</f>
        <v>0.29435718924807103</v>
      </c>
    </row>
    <row r="22" spans="1:4" x14ac:dyDescent="0.4">
      <c r="A22" s="1">
        <v>2.1</v>
      </c>
      <c r="B22" s="1">
        <f>_xlfn.NORM.S.DIST(((A22)-'1_全損率'!$G$3)/'1_全損率'!$H$3, TRUE)</f>
        <v>8.4291684389858637E-2</v>
      </c>
      <c r="C22" s="1">
        <f>_xlfn.NORM.S.DIST(((A22)-'2_全半壊率'!$G$3)/'2_全半壊率'!$H$3, TRUE)</f>
        <v>0.14173877884869646</v>
      </c>
      <c r="D22" s="1">
        <f>_xlfn.NORM.S.DIST(((A22)-'3_一部損壊以上率'!$G$3)/'3_一部損壊以上率'!$H$3, TRUE)</f>
        <v>0.30354559778706247</v>
      </c>
    </row>
    <row r="23" spans="1:4" x14ac:dyDescent="0.4">
      <c r="A23" s="1">
        <v>2.2000000000000002</v>
      </c>
      <c r="B23" s="1">
        <f>_xlfn.NORM.S.DIST(((A23)-'1_全損率'!$G$3)/'1_全損率'!$H$3, TRUE)</f>
        <v>8.6639976441853186E-2</v>
      </c>
      <c r="C23" s="1">
        <f>_xlfn.NORM.S.DIST(((A23)-'2_全半壊率'!$G$3)/'2_全半壊率'!$H$3, TRUE)</f>
        <v>0.147485228775556</v>
      </c>
      <c r="D23" s="1">
        <f>_xlfn.NORM.S.DIST(((A23)-'3_一部損壊以上率'!$G$3)/'3_一部損壊以上率'!$H$3, TRUE)</f>
        <v>0.31285992356895426</v>
      </c>
    </row>
    <row r="24" spans="1:4" x14ac:dyDescent="0.4">
      <c r="A24" s="1">
        <v>2.2999999999999998</v>
      </c>
      <c r="B24" s="1">
        <f>_xlfn.NORM.S.DIST(((A24)-'1_全損率'!$G$3)/'1_全損率'!$H$3, TRUE)</f>
        <v>8.9036825169547723E-2</v>
      </c>
      <c r="C24" s="1">
        <f>_xlfn.NORM.S.DIST(((A24)-'2_全半壊率'!$G$3)/'2_全半壊率'!$H$3, TRUE)</f>
        <v>0.15338571728870715</v>
      </c>
      <c r="D24" s="1">
        <f>_xlfn.NORM.S.DIST(((A24)-'3_一部損壊以上率'!$G$3)/'3_一部損壊以上率'!$H$3, TRUE)</f>
        <v>0.32229527923884183</v>
      </c>
    </row>
    <row r="25" spans="1:4" x14ac:dyDescent="0.4">
      <c r="A25" s="1">
        <v>2.4</v>
      </c>
      <c r="B25" s="1">
        <f>_xlfn.NORM.S.DIST(((A25)-'1_全損率'!$G$3)/'1_全損率'!$H$3, TRUE)</f>
        <v>9.1482682027574994E-2</v>
      </c>
      <c r="C25" s="1">
        <f>_xlfn.NORM.S.DIST(((A25)-'2_全半壊率'!$G$3)/'2_全半壊率'!$H$3, TRUE)</f>
        <v>0.15944050913261432</v>
      </c>
      <c r="D25" s="1">
        <f>_xlfn.NORM.S.DIST(((A25)-'3_一部損壊以上率'!$G$3)/'3_一部損壊以上率'!$H$3, TRUE)</f>
        <v>0.33184654330180252</v>
      </c>
    </row>
    <row r="26" spans="1:4" x14ac:dyDescent="0.4">
      <c r="A26" s="1">
        <v>2.5</v>
      </c>
      <c r="B26" s="1">
        <f>_xlfn.NORM.S.DIST(((A26)-'1_全損率'!$G$3)/'1_全損率'!$H$3, TRUE)</f>
        <v>9.3977985336035255E-2</v>
      </c>
      <c r="C26" s="1">
        <f>_xlfn.NORM.S.DIST(((A26)-'2_全半壊率'!$G$3)/'2_全半壊率'!$H$3, TRUE)</f>
        <v>0.165649676562661</v>
      </c>
      <c r="D26" s="1">
        <f>_xlfn.NORM.S.DIST(((A26)-'3_一部損壊以上率'!$G$3)/'3_一部損壊以上率'!$H$3, TRUE)</f>
        <v>0.34150836799219947</v>
      </c>
    </row>
    <row r="27" spans="1:4" x14ac:dyDescent="0.4">
      <c r="A27" s="1">
        <v>2.6</v>
      </c>
      <c r="B27" s="1">
        <f>_xlfn.NORM.S.DIST(((A27)-'1_全損率'!$G$3)/'1_全損率'!$H$3, TRUE)</f>
        <v>9.6523159713449075E-2</v>
      </c>
      <c r="C27" s="1">
        <f>_xlfn.NORM.S.DIST(((A27)-'2_全半壊率'!$G$3)/'2_全半壊率'!$H$3, TRUE)</f>
        <v>0.17201309423515476</v>
      </c>
      <c r="D27" s="1">
        <f>_xlfn.NORM.S.DIST(((A27)-'3_一部損壊以上率'!$G$3)/'3_一部損壊以上率'!$H$3, TRUE)</f>
        <v>0.35127518787730261</v>
      </c>
    </row>
    <row r="28" spans="1:4" x14ac:dyDescent="0.4">
      <c r="A28" s="1">
        <v>2.7</v>
      </c>
      <c r="B28" s="1">
        <f>_xlfn.NORM.S.DIST(((A28)-'1_全損率'!$G$3)/'1_全損率'!$H$3, TRUE)</f>
        <v>9.9118615510751684E-2</v>
      </c>
      <c r="C28" s="1">
        <f>_xlfn.NORM.S.DIST(((A28)-'2_全半壊率'!$G$3)/'2_全半壊率'!$H$3, TRUE)</f>
        <v>0.17853043447753011</v>
      </c>
      <c r="D28" s="1">
        <f>_xlfn.NORM.S.DIST(((A28)-'3_一部損壊以上率'!$G$3)/'3_一部損壊以上率'!$H$3, TRUE)</f>
        <v>0.36114122917368641</v>
      </c>
    </row>
    <row r="29" spans="1:4" x14ac:dyDescent="0.4">
      <c r="A29" s="1">
        <v>2.8</v>
      </c>
      <c r="B29" s="1">
        <f>_xlfn.NORM.S.DIST(((A29)-'1_全損率'!$G$3)/'1_全損率'!$H$3, TRUE)</f>
        <v>0.10176474824699328</v>
      </c>
      <c r="C29" s="1">
        <f>_xlfn.NORM.S.DIST(((A29)-'2_全半壊率'!$G$3)/'2_全半壊率'!$H$3, TRUE)</f>
        <v>0.18520116296358405</v>
      </c>
      <c r="D29" s="1">
        <f>_xlfn.NORM.S.DIST(((A29)-'3_一部損壊以上率'!$G$3)/'3_一部損壊以上率'!$H$3, TRUE)</f>
        <v>0.37110051975160119</v>
      </c>
    </row>
    <row r="30" spans="1:4" x14ac:dyDescent="0.4">
      <c r="A30" s="1">
        <v>2.9</v>
      </c>
      <c r="B30" s="1">
        <f>_xlfn.NORM.S.DIST(((A30)-'1_全損率'!$G$3)/'1_全損率'!$H$3, TRUE)</f>
        <v>0.1044619380474245</v>
      </c>
      <c r="C30" s="1">
        <f>_xlfn.NORM.S.DIST(((A30)-'2_全半壊率'!$G$3)/'2_全半壊率'!$H$3, TRUE)</f>
        <v>0.19202453481762846</v>
      </c>
      <c r="D30" s="1">
        <f>_xlfn.NORM.S.DIST(((A30)-'3_一部損壊以上率'!$G$3)/'3_一部損壊以上率'!$H$3, TRUE)</f>
        <v>0.38114689979934258</v>
      </c>
    </row>
    <row r="31" spans="1:4" x14ac:dyDescent="0.4">
      <c r="A31" s="1">
        <v>3</v>
      </c>
      <c r="B31" s="1">
        <f>_xlfn.NORM.S.DIST(((A31)-'1_全損率'!$G$3)/'1_全損率'!$H$3, TRUE)</f>
        <v>0.10721054908465318</v>
      </c>
      <c r="C31" s="1">
        <f>_xlfn.NORM.S.DIST(((A31)-'2_全半壊率'!$G$3)/'2_全半壊率'!$H$3, TRUE)</f>
        <v>0.19899959117035912</v>
      </c>
      <c r="D31" s="1">
        <f>_xlfn.NORM.S.DIST(((A31)-'3_一部損壊以上率'!$G$3)/'3_一部損壊以上率'!$H$3, TRUE)</f>
        <v>0.39127403311656878</v>
      </c>
    </row>
    <row r="32" spans="1:4" x14ac:dyDescent="0.4">
      <c r="A32" s="1">
        <v>3.1</v>
      </c>
      <c r="B32" s="1">
        <f>_xlfn.NORM.S.DIST(((A32)-'1_全損率'!$G$3)/'1_全損率'!$H$3, TRUE)</f>
        <v>0.11001092902357021</v>
      </c>
      <c r="C32" s="1">
        <f>_xlfn.NORM.S.DIST(((A32)-'2_全半壊率'!$G$3)/'2_全半壊率'!$H$3, TRUE)</f>
        <v>0.20612515618803273</v>
      </c>
      <c r="D32" s="1">
        <f>_xlfn.NORM.S.DIST(((A32)-'3_一部損壊以上率'!$G$3)/'3_一部損壊以上率'!$H$3, TRUE)</f>
        <v>0.40147541900257366</v>
      </c>
    </row>
    <row r="33" spans="1:4" x14ac:dyDescent="0.4">
      <c r="A33" s="1">
        <v>3.2</v>
      </c>
      <c r="B33" s="1">
        <f>_xlfn.NORM.S.DIST(((A33)-'1_全損率'!$G$3)/'1_全損率'!$H$3, TRUE)</f>
        <v>0.11286340847074888</v>
      </c>
      <c r="C33" s="1">
        <f>_xlfn.NORM.S.DIST(((A33)-'2_全半壊率'!$G$3)/'2_全半壊率'!$H$3, TRUE)</f>
        <v>0.21339983459519987</v>
      </c>
      <c r="D33" s="1">
        <f>_xlfn.NORM.S.DIST(((A33)-'3_一部損壊以上率'!$G$3)/'3_一部損壊以上率'!$H$3, TRUE)</f>
        <v>0.41174440470271123</v>
      </c>
    </row>
    <row r="34" spans="1:4" x14ac:dyDescent="0.4">
      <c r="A34" s="1">
        <v>3.3</v>
      </c>
      <c r="B34" s="1">
        <f>_xlfn.NORM.S.DIST(((A34)-'1_全損率'!$G$3)/'1_全損率'!$H$3, TRUE)</f>
        <v>0.11576830042903045</v>
      </c>
      <c r="C34" s="1">
        <f>_xlfn.NORM.S.DIST(((A34)-'2_全半壊率'!$G$3)/'2_全半壊率'!$H$3, TRUE)</f>
        <v>0.22082200970979005</v>
      </c>
      <c r="D34" s="1">
        <f>_xlfn.NORM.S.DIST(((A34)-'3_一部損壊以上率'!$G$3)/'3_一部損壊以上率'!$H$3, TRUE)</f>
        <v>0.42207419837351934</v>
      </c>
    </row>
    <row r="35" spans="1:4" x14ac:dyDescent="0.4">
      <c r="A35" s="1">
        <v>3.4</v>
      </c>
      <c r="B35" s="1">
        <f>_xlfn.NORM.S.DIST(((A35)-'1_全損率'!$G$3)/'1_全損率'!$H$3, TRUE)</f>
        <v>0.11872589975801501</v>
      </c>
      <c r="C35" s="1">
        <f>_xlfn.NORM.S.DIST(((A35)-'2_全半壊率'!$G$3)/'2_全半壊率'!$H$3, TRUE)</f>
        <v>0.22838984200776241</v>
      </c>
      <c r="D35" s="1">
        <f>_xlfn.NORM.S.DIST(((A35)-'3_一部損壊以上率'!$G$3)/'3_一部損壊以上率'!$H$3, TRUE)</f>
        <v>0.43245788252461587</v>
      </c>
    </row>
    <row r="36" spans="1:4" x14ac:dyDescent="0.4">
      <c r="A36" s="1">
        <v>3.5</v>
      </c>
      <c r="B36" s="1">
        <f>_xlfn.NORM.S.DIST(((A36)-'1_全損率'!$G$3)/'1_全損率'!$H$3, TRUE)</f>
        <v>0.12173648264118053</v>
      </c>
      <c r="C36" s="1">
        <f>_xlfn.NORM.S.DIST(((A36)-'2_全半壊率'!$G$3)/'2_全半壊率'!$H$3, TRUE)</f>
        <v>0.23610126823285416</v>
      </c>
      <c r="D36" s="1">
        <f>_xlfn.NORM.S.DIST(((A36)-'3_一部損壊以上率'!$G$3)/'3_一部損壊以上率'!$H$3, TRUE)</f>
        <v>0.44288842789315086</v>
      </c>
    </row>
    <row r="37" spans="1:4" x14ac:dyDescent="0.4">
      <c r="A37" s="1">
        <v>3.6</v>
      </c>
      <c r="B37" s="1">
        <f>_xlfn.NORM.S.DIST(((A37)-'1_全損率'!$G$3)/'1_全損率'!$H$3, TRUE)</f>
        <v>0.12480030606036008</v>
      </c>
      <c r="C37" s="1">
        <f>_xlfn.NORM.S.DIST(((A37)-'2_全半壊率'!$G$3)/'2_全半壊率'!$H$3, TRUE)</f>
        <v>0.24395400106516424</v>
      </c>
      <c r="D37" s="1">
        <f>_xlfn.NORM.S.DIST(((A37)-'3_一部損壊以上率'!$G$3)/'3_一部損壊以上率'!$H$3, TRUE)</f>
        <v>0.45335870770451586</v>
      </c>
    </row>
    <row r="38" spans="1:4" x14ac:dyDescent="0.4">
      <c r="A38" s="1">
        <v>3.7</v>
      </c>
      <c r="B38" s="1">
        <f>_xlfn.NORM.S.DIST(((A38)-'1_全損率'!$G$3)/'1_全損率'!$H$3, TRUE)</f>
        <v>0.1279176072783067</v>
      </c>
      <c r="C38" s="1">
        <f>_xlfn.NORM.S.DIST(((A38)-'2_全半壊率'!$G$3)/'2_全半壊率'!$H$3, TRUE)</f>
        <v>0.25194552936042114</v>
      </c>
      <c r="D38" s="1">
        <f>_xlfn.NORM.S.DIST(((A38)-'3_一部損壊以上率'!$G$3)/'3_一部損壊以上率'!$H$3, TRUE)</f>
        <v>0.46386151227114386</v>
      </c>
    </row>
    <row r="39" spans="1:4" x14ac:dyDescent="0.4">
      <c r="A39" s="1">
        <v>3.8</v>
      </c>
      <c r="B39" s="1">
        <f>_xlfn.NORM.S.DIST(((A39)-'1_全損率'!$G$3)/'1_全損率'!$H$3, TRUE)</f>
        <v>0.13108860333008129</v>
      </c>
      <c r="C39" s="1">
        <f>_xlfn.NORM.S.DIST(((A39)-'2_全半壊率'!$G$3)/'2_全半壊率'!$H$3, TRUE)</f>
        <v>0.26007311896980512</v>
      </c>
      <c r="D39" s="1">
        <f>_xlfn.NORM.S.DIST(((A39)-'3_一部損壊以上率'!$G$3)/'3_一部損壊以上率'!$H$3, TRUE)</f>
        <v>0.47438956387959064</v>
      </c>
    </row>
    <row r="40" spans="1:4" x14ac:dyDescent="0.4">
      <c r="A40" s="1">
        <v>3.9</v>
      </c>
      <c r="B40" s="1">
        <f>_xlfn.NORM.S.DIST(((A40)-'1_全損率'!$G$3)/'1_全損率'!$H$3, TRUE)</f>
        <v>0.13431349052399585</v>
      </c>
      <c r="C40" s="1">
        <f>_xlfn.NORM.S.DIST(((A40)-'2_全半壊率'!$G$3)/'2_全半壊率'!$H$3, TRUE)</f>
        <v>0.26833381414813523</v>
      </c>
      <c r="D40" s="1">
        <f>_xlfn.NORM.S.DIST(((A40)-'3_一部損壊以上率'!$G$3)/'3_一部損壊以上率'!$H$3, TRUE)</f>
        <v>0.48493553191468725</v>
      </c>
    </row>
    <row r="41" spans="1:4" x14ac:dyDescent="0.4">
      <c r="A41" s="1">
        <v>4</v>
      </c>
      <c r="B41" s="1">
        <f>_xlfn.NORM.S.DIST(((A41)-'1_全損率'!$G$3)/'1_全損率'!$H$3, TRUE)</f>
        <v>0.13759244395284839</v>
      </c>
      <c r="C41" s="1">
        <f>_xlfn.NORM.S.DIST(((A41)-'2_全半壊率'!$G$3)/'2_全半壊率'!$H$3, TRUE)</f>
        <v>0.27672443955609582</v>
      </c>
      <c r="D41" s="1">
        <f>_xlfn.NORM.S.DIST(((A41)-'3_一部損壊以上率'!$G$3)/'3_一部損壊以上率'!$H$3, TRUE)</f>
        <v>0.49549204816839615</v>
      </c>
    </row>
    <row r="42" spans="1:4" x14ac:dyDescent="0.4">
      <c r="A42" s="1">
        <v>4.0999999999999996</v>
      </c>
      <c r="B42" s="1">
        <f>_xlfn.NORM.S.DIST(((A42)-'1_全損率'!$G$3)/'1_全損率'!$H$3, TRUE)</f>
        <v>0.1409256170161802</v>
      </c>
      <c r="C42" s="1">
        <f>_xlfn.NORM.S.DIST(((A42)-'2_全半壊率'!$G$3)/'2_全半壊率'!$H$3, TRUE)</f>
        <v>0.28524160285998712</v>
      </c>
      <c r="D42" s="1">
        <f>_xlfn.NORM.S.DIST(((A42)-'3_一部損壊以上率'!$G$3)/'3_一部損壊以上率'!$H$3, TRUE)</f>
        <v>0.50605172228010087</v>
      </c>
    </row>
    <row r="43" spans="1:4" x14ac:dyDescent="0.4">
      <c r="A43" s="1">
        <v>4.2</v>
      </c>
      <c r="B43" s="1">
        <f>_xlfn.NORM.S.DIST(((A43)-'1_全損率'!$G$3)/'1_全損率'!$H$3, TRUE)</f>
        <v>0.14431314095428729</v>
      </c>
      <c r="C43" s="1">
        <f>_xlfn.NORM.S.DIST(((A43)-'2_全半壊率'!$G$3)/'2_全半壊率'!$H$3, TRUE)</f>
        <v>0.29388169793023244</v>
      </c>
      <c r="D43" s="1">
        <f>_xlfn.NORM.S.DIST(((A43)-'3_一部損壊以上率'!$G$3)/'3_一部損壊以上率'!$H$3, TRUE)</f>
        <v>0.51660715725441686</v>
      </c>
    </row>
    <row r="44" spans="1:4" x14ac:dyDescent="0.4">
      <c r="A44" s="1">
        <v>4.3</v>
      </c>
      <c r="B44" s="1">
        <f>_xlfn.NORM.S.DIST(((A44)-'1_全損率'!$G$3)/'1_全損率'!$H$3, TRUE)</f>
        <v>0.1477551243947102</v>
      </c>
      <c r="C44" s="1">
        <f>_xlfn.NORM.S.DIST(((A44)-'2_全半壊率'!$G$3)/'2_全半壊率'!$H$3, TRUE)</f>
        <v>0.3026409086375863</v>
      </c>
      <c r="D44" s="1">
        <f>_xlfn.NORM.S.DIST(((A44)-'3_一部損壊以上率'!$G$3)/'3_一部損壊以上率'!$H$3, TRUE)</f>
        <v>0.52715096500222858</v>
      </c>
    </row>
    <row r="45" spans="1:4" x14ac:dyDescent="0.4">
      <c r="A45" s="1">
        <v>4.4000000000000004</v>
      </c>
      <c r="B45" s="1">
        <f>_xlfn.NORM.S.DIST(((A45)-'1_全損率'!$G$3)/'1_全損率'!$H$3, TRUE)</f>
        <v>0.15125165291192641</v>
      </c>
      <c r="C45" s="1">
        <f>_xlfn.NORM.S.DIST(((A45)-'2_全半壊率'!$G$3)/'2_全半壊率'!$H$3, TRUE)</f>
        <v>0.31151521324367182</v>
      </c>
      <c r="D45" s="1">
        <f>_xlfn.NORM.S.DIST(((A45)-'3_一部損壊以上率'!$G$3)/'3_一部損壊以上率'!$H$3, TRUE)</f>
        <v>0.53767578185055021</v>
      </c>
    </row>
    <row r="46" spans="1:4" x14ac:dyDescent="0.4">
      <c r="A46" s="1">
        <v>4.5</v>
      </c>
      <c r="B46" s="1">
        <f>_xlfn.NORM.S.DIST(((A46)-'1_全損率'!$G$3)/'1_全損率'!$H$3, TRUE)</f>
        <v>0.15480278860095686</v>
      </c>
      <c r="C46" s="1">
        <f>_xlfn.NORM.S.DIST(((A46)-'2_全半壊率'!$G$3)/'2_全半壊率'!$H$3, TRUE)</f>
        <v>0.32050038938013081</v>
      </c>
      <c r="D46" s="1">
        <f>_xlfn.NORM.S.DIST(((A46)-'3_一部損壊以上率'!$G$3)/'3_一部損壊以上率'!$H$3, TRUE)</f>
        <v>0.54817428396695</v>
      </c>
    </row>
    <row r="47" spans="1:4" x14ac:dyDescent="0.4">
      <c r="A47" s="1">
        <v>4.5999999999999996</v>
      </c>
      <c r="B47" s="1">
        <f>_xlfn.NORM.S.DIST(((A47)-'1_全損率'!$G$3)/'1_全損率'!$H$3, TRUE)</f>
        <v>0.15840856966559663</v>
      </c>
      <c r="C47" s="1">
        <f>_xlfn.NORM.S.DIST(((A47)-'2_全半壊率'!$G$3)/'2_全半壊率'!$H$3, TRUE)</f>
        <v>0.3295920196083299</v>
      </c>
      <c r="D47" s="1">
        <f>_xlfn.NORM.S.DIST(((A47)-'3_一部損壊以上率'!$G$3)/'3_一部損壊以上率'!$H$3, TRUE)</f>
        <v>0.55863920264470979</v>
      </c>
    </row>
    <row r="48" spans="1:4" x14ac:dyDescent="0.4">
      <c r="A48" s="1">
        <v>4.7</v>
      </c>
      <c r="B48" s="1">
        <f>_xlfn.NORM.S.DIST(((A48)-'1_全損率'!$G$3)/'1_全損率'!$H$3, TRUE)</f>
        <v>0.16206901002196719</v>
      </c>
      <c r="C48" s="1">
        <f>_xlfn.NORM.S.DIST(((A48)-'2_全半壊率'!$G$3)/'2_全半壊率'!$H$3, TRUE)</f>
        <v>0.33878549754922005</v>
      </c>
      <c r="D48" s="1">
        <f>_xlfn.NORM.S.DIST(((A48)-'3_一部損壊以上率'!$G$3)/'3_一部損壊以上率'!$H$3, TRUE)</f>
        <v>0.56906333939556009</v>
      </c>
    </row>
    <row r="49" spans="1:4" x14ac:dyDescent="0.4">
      <c r="A49" s="1">
        <v>4.8</v>
      </c>
      <c r="B49" s="1">
        <f>_xlfn.NORM.S.DIST(((A49)-'1_全損率'!$G$3)/'1_全損率'!$H$3, TRUE)</f>
        <v>0.16578409891807941</v>
      </c>
      <c r="C49" s="1">
        <f>_xlfn.NORM.S.DIST(((A49)-'2_全半壊率'!$G$3)/'2_全半壊率'!$H$3, TRUE)</f>
        <v>0.3480760345706263</v>
      </c>
      <c r="D49" s="1">
        <f>_xlfn.NORM.S.DIST(((A49)-'3_一部損壊以上率'!$G$3)/'3_一部損壊以上率'!$H$3, TRUE)</f>
        <v>0.57943958079777869</v>
      </c>
    </row>
    <row r="50" spans="1:4" x14ac:dyDescent="0.4">
      <c r="A50" s="1">
        <v>4.9000000000000004</v>
      </c>
      <c r="B50" s="1">
        <f>_xlfn.NORM.S.DIST(((A50)-'1_全損率'!$G$3)/'1_全損率'!$H$3, TRUE)</f>
        <v>0.16955380057008432</v>
      </c>
      <c r="C50" s="1">
        <f>_xlfn.NORM.S.DIST(((A50)-'2_全半壊率'!$G$3)/'2_全半壊率'!$H$3, TRUE)</f>
        <v>0.35745866701694473</v>
      </c>
      <c r="D50" s="1">
        <f>_xlfn.NORM.S.DIST(((A50)-'3_一部損壊以上率'!$G$3)/'3_一部損壊以上率'!$H$3, TRUE)</f>
        <v>0.58976091304863365</v>
      </c>
    </row>
    <row r="51" spans="1:4" x14ac:dyDescent="0.4">
      <c r="A51" s="1">
        <v>5</v>
      </c>
      <c r="B51" s="1">
        <f>_xlfn.NORM.S.DIST(((A51)-'1_全損率'!$G$3)/'1_全損率'!$H$3, TRUE)</f>
        <v>0.17337805381587654</v>
      </c>
      <c r="C51" s="1">
        <f>_xlfn.NORM.S.DIST(((A51)-'2_全半壊率'!$G$3)/'2_全半壊率'!$H$3, TRUE)</f>
        <v>0.36692826396397188</v>
      </c>
      <c r="D51" s="1">
        <f>_xlfn.NORM.S.DIST(((A51)-'3_一部損壊以上率'!$G$3)/'3_一部損壊以上率'!$H$3, TRUE)</f>
        <v>0.60002043617158396</v>
      </c>
    </row>
    <row r="52" spans="1:4" x14ac:dyDescent="0.4">
      <c r="A52" s="1">
        <v>5.0999999999999996</v>
      </c>
      <c r="B52" s="1">
        <f>_xlfn.NORM.S.DIST(((A52)-'1_全損率'!$G$3)/'1_全損率'!$H$3, TRUE)</f>
        <v>0.17725677178670238</v>
      </c>
      <c r="C52" s="1">
        <f>_xlfn.NORM.S.DIST(((A52)-'2_全半壊率'!$G$3)/'2_全半壊率'!$H$3, TRUE)</f>
        <v>0.37647953547938945</v>
      </c>
      <c r="D52" s="1">
        <f>_xlfn.NORM.S.DIST(((A52)-'3_一部損壊以上率'!$G$3)/'3_一部損壊以上率'!$H$3, TRUE)</f>
        <v>0.61021137783033419</v>
      </c>
    </row>
    <row r="53" spans="1:4" x14ac:dyDescent="0.4">
      <c r="A53" s="1">
        <v>5.2</v>
      </c>
      <c r="B53" s="1">
        <f>_xlfn.NORM.S.DIST(((A53)-'1_全損率'!$G$3)/'1_全損率'!$H$3, TRUE)</f>
        <v>0.18118984159740706</v>
      </c>
      <c r="C53" s="1">
        <f>_xlfn.NORM.S.DIST(((A53)-'2_全半壊率'!$G$3)/'2_全半壊率'!$H$3, TRUE)</f>
        <v>0.38610704136728746</v>
      </c>
      <c r="D53" s="1">
        <f>_xlfn.NORM.S.DIST(((A53)-'3_一部損壊以上率'!$G$3)/'3_一部損壊以上率'!$H$3, TRUE)</f>
        <v>0.62032710670373081</v>
      </c>
    </row>
    <row r="54" spans="1:4" x14ac:dyDescent="0.4">
      <c r="A54" s="1">
        <v>5.3</v>
      </c>
      <c r="B54" s="1">
        <f>_xlfn.NORM.S.DIST(((A54)-'1_全損率'!$G$3)/'1_全損率'!$H$3, TRUE)</f>
        <v>0.18517712405594222</v>
      </c>
      <c r="C54" s="1">
        <f>_xlfn.NORM.S.DIST(((A54)-'2_全半壊率'!$G$3)/'2_全半壊率'!$H$3, TRUE)</f>
        <v>0.39580520037305239</v>
      </c>
      <c r="D54" s="1">
        <f>_xlfn.NORM.S.DIST(((A54)-'3_一部損壊以上率'!$G$3)/'3_一部損壊以上率'!$H$3, TRUE)</f>
        <v>0.63036114537761145</v>
      </c>
    </row>
    <row r="55" spans="1:4" x14ac:dyDescent="0.4">
      <c r="A55" s="1">
        <v>5.4</v>
      </c>
      <c r="B55" s="1">
        <f>_xlfn.NORM.S.DIST(((A55)-'1_全損率'!$G$3)/'1_全損率'!$H$3, TRUE)</f>
        <v>0.18921845339273619</v>
      </c>
      <c r="C55" s="1">
        <f>_xlfn.NORM.S.DIST(((A55)-'2_全半壊率'!$G$3)/'2_全半壊率'!$H$3, TRUE)</f>
        <v>0.40556829982297293</v>
      </c>
      <c r="D55" s="1">
        <f>_xlfn.NORM.S.DIST(((A55)-'3_一部損壊以上率'!$G$3)/'3_一部損壊以上率'!$H$3, TRUE)</f>
        <v>0.64030718271202625</v>
      </c>
    </row>
    <row r="56" spans="1:4" x14ac:dyDescent="0.4">
      <c r="A56" s="1">
        <v>5.5</v>
      </c>
      <c r="B56" s="1">
        <f>_xlfn.NORM.S.DIST(((A56)-'1_全損率'!$G$3)/'1_全損率'!$H$3, TRUE)</f>
        <v>0.19331363701050938</v>
      </c>
      <c r="C56" s="1">
        <f>_xlfn.NORM.S.DIST(((A56)-'2_全半壊率'!$G$3)/'2_全半壊率'!$H$3, TRUE)</f>
        <v>0.41539050567103758</v>
      </c>
      <c r="D56" s="1">
        <f>_xlfn.NORM.S.DIST(((A56)-'3_一部損壊以上率'!$G$3)/'3_一部損壊以上率'!$H$3, TRUE)</f>
        <v>0.65015908564475755</v>
      </c>
    </row>
    <row r="57" spans="1:4" x14ac:dyDescent="0.4">
      <c r="A57" s="1">
        <v>5.6</v>
      </c>
      <c r="B57" s="1">
        <f>_xlfn.NORM.S.DIST(((A57)-'1_全損率'!$G$3)/'1_全損率'!$H$3, TRUE)</f>
        <v>0.19746245525510095</v>
      </c>
      <c r="C57" s="1">
        <f>_xlfn.NORM.S.DIST(((A57)-'2_全半壊率'!$G$3)/'2_全半壊率'!$H$3, TRUE)</f>
        <v>0.4252658729236401</v>
      </c>
      <c r="D57" s="1">
        <f>_xlfn.NORM.S.DIST(((A57)-'3_一部損壊以上率'!$G$3)/'3_一部損壊以上率'!$H$3, TRUE)</f>
        <v>0.65991091039473759</v>
      </c>
    </row>
    <row r="58" spans="1:4" x14ac:dyDescent="0.4">
      <c r="A58" s="1">
        <v>5.7</v>
      </c>
      <c r="B58" s="1">
        <f>_xlfn.NORM.S.DIST(((A58)-'1_全損率'!$G$3)/'1_全損率'!$H$3, TRUE)</f>
        <v>0.20166466120784712</v>
      </c>
      <c r="C58" s="1">
        <f>_xlfn.NORM.S.DIST(((A58)-'2_全半壊率'!$G$3)/'2_全半壊率'!$H$3, TRUE)</f>
        <v>0.43518835641125614</v>
      </c>
      <c r="D58" s="1">
        <f>_xlfn.NORM.S.DIST(((A58)-'3_一部損壊以上率'!$G$3)/'3_一部損壊以上率'!$H$3, TRUE)</f>
        <v>0.66955691303178888</v>
      </c>
    </row>
    <row r="59" spans="1:4" x14ac:dyDescent="0.4">
      <c r="A59" s="1">
        <v>5.8</v>
      </c>
      <c r="B59" s="1">
        <f>_xlfn.NORM.S.DIST(((A59)-'1_全損率'!$G$3)/'1_全損率'!$H$3, TRUE)</f>
        <v>0.20591998050003379</v>
      </c>
      <c r="C59" s="1">
        <f>_xlfn.NORM.S.DIST(((A59)-'2_全半壊率'!$G$3)/'2_全半壊率'!$H$3, TRUE)</f>
        <v>0.44515182187463809</v>
      </c>
      <c r="D59" s="1">
        <f>_xlfn.NORM.S.DIST(((A59)-'3_一部損壊以上率'!$G$3)/'3_一部損壊以上率'!$H$3, TRUE)</f>
        <v>0.67909155938208254</v>
      </c>
    </row>
    <row r="60" spans="1:4" x14ac:dyDescent="0.4">
      <c r="A60" s="1">
        <v>5.9</v>
      </c>
      <c r="B60" s="1">
        <f>_xlfn.NORM.S.DIST(((A60)-'1_全損率'!$G$3)/'1_全損率'!$H$3, TRUE)</f>
        <v>0.21022811114992004</v>
      </c>
      <c r="C60" s="1">
        <f>_xlfn.NORM.S.DIST(((A60)-'2_全半壊率'!$G$3)/'2_全半壊率'!$H$3, TRUE)</f>
        <v>0.45515005733169472</v>
      </c>
      <c r="D60" s="1">
        <f>_xlfn.NORM.S.DIST(((A60)-'3_一部損壊以上率'!$G$3)/'3_一部損壊以上率'!$H$3, TRUE)</f>
        <v>0.68850953424179795</v>
      </c>
    </row>
    <row r="61" spans="1:4" x14ac:dyDescent="0.4">
      <c r="A61" s="1">
        <v>6</v>
      </c>
      <c r="B61" s="1">
        <f>_xlfn.NORM.S.DIST(((A61)-'1_全損率'!$G$3)/'1_全損率'!$H$3, TRUE)</f>
        <v>0.21458872342280566</v>
      </c>
      <c r="C61" s="1">
        <f>_xlfn.NORM.S.DIST(((A61)-'2_全半壊率'!$G$3)/'2_全半壊率'!$H$3, TRUE)</f>
        <v>0.4651767846899808</v>
      </c>
      <c r="D61" s="1">
        <f>_xlfn.NORM.S.DIST(((A61)-'3_一部損壊以上率'!$G$3)/'3_一部損壊以上率'!$H$3, TRUE)</f>
        <v>0.69780574987464949</v>
      </c>
    </row>
    <row r="62" spans="1:4" x14ac:dyDescent="0.4">
      <c r="A62" s="1">
        <v>6.1</v>
      </c>
      <c r="B62" s="1">
        <f>_xlfn.NORM.S.DIST(((A62)-'1_全損率'!$G$3)/'1_全損率'!$H$3, TRUE)</f>
        <v>0.21900145971459012</v>
      </c>
      <c r="C62" s="1">
        <f>_xlfn.NORM.S.DIST(((A62)-'2_全半壊率'!$G$3)/'2_全半壊率'!$H$3, TRUE)</f>
        <v>0.47522567156863954</v>
      </c>
      <c r="D62" s="1">
        <f>_xlfn.NORM.S.DIST(((A62)-'3_一部損壊以上率'!$G$3)/'3_一部損壊以上率'!$H$3, TRUE)</f>
        <v>0.70697535377222431</v>
      </c>
    </row>
    <row r="63" spans="1:4" x14ac:dyDescent="0.4">
      <c r="A63" s="1">
        <v>6.2</v>
      </c>
      <c r="B63" s="1">
        <f>_xlfn.NORM.S.DIST(((A63)-'1_全損率'!$G$3)/'1_全損率'!$H$3, TRUE)</f>
        <v>0.2234659344592452</v>
      </c>
      <c r="C63" s="1">
        <f>_xlfn.NORM.S.DIST(((A63)-'2_全半壊率'!$G$3)/'2_全半壊率'!$H$3, TRUE)</f>
        <v>0.48529034329270804</v>
      </c>
      <c r="D63" s="1">
        <f>_xlfn.NORM.S.DIST(((A63)-'3_一部損壊以上率'!$G$3)/'3_一部損壊以上率'!$H$3, TRUE)</f>
        <v>0.71601373565940751</v>
      </c>
    </row>
    <row r="64" spans="1:4" x14ac:dyDescent="0.4">
      <c r="A64" s="1">
        <v>6.3</v>
      </c>
      <c r="B64" s="1">
        <f>_xlfn.NORM.S.DIST(((A64)-'1_全損率'!$G$3)/'1_全損率'!$H$3, TRUE)</f>
        <v>0.22798173406059272</v>
      </c>
      <c r="C64" s="1">
        <f>_xlfn.NORM.S.DIST(((A64)-'2_全半壊率'!$G$3)/'2_全半壊率'!$H$3, TRUE)</f>
        <v>0.49536439502193352</v>
      </c>
      <c r="D64" s="1">
        <f>_xlfn.NORM.S.DIST(((A64)-'3_一部損壊以上率'!$G$3)/'3_一部損壊以上率'!$H$3, TRUE)</f>
        <v>0.72491653373054932</v>
      </c>
    </row>
    <row r="65" spans="1:4" x14ac:dyDescent="0.4">
      <c r="A65" s="1">
        <v>6.4</v>
      </c>
      <c r="B65" s="1">
        <f>_xlfn.NORM.S.DIST(((A65)-'1_全損率'!$G$3)/'1_全損率'!$H$3, TRUE)</f>
        <v>0.23254841684875568</v>
      </c>
      <c r="C65" s="1">
        <f>_xlfn.NORM.S.DIST(((A65)-'2_全半壊率'!$G$3)/'2_全半壊率'!$H$3, TRUE)</f>
        <v>0.50544140397564685</v>
      </c>
      <c r="D65" s="1">
        <f>_xlfn.NORM.S.DIST(((A65)-'3_一部損壊以上率'!$G$3)/'3_一部損壊以上率'!$H$3, TRUE)</f>
        <v>0.73367964010543618</v>
      </c>
    </row>
    <row r="66" spans="1:4" x14ac:dyDescent="0.4">
      <c r="A66" s="1">
        <v>6.5</v>
      </c>
      <c r="B66" s="1">
        <f>_xlfn.NORM.S.DIST(((A66)-'1_全損率'!$G$3)/'1_全損率'!$H$3, TRUE)</f>
        <v>0.23716551306161535</v>
      </c>
      <c r="C66" s="1">
        <f>_xlfn.NORM.S.DIST(((A66)-'2_全半壊率'!$G$3)/'2_全半壊率'!$H$3, TRUE)</f>
        <v>0.51551494171481227</v>
      </c>
      <c r="D66" s="1">
        <f>_xlfn.NORM.S.DIST(((A66)-'3_一部損壊以上率'!$G$3)/'3_一部損壊以上率'!$H$3, TRUE)</f>
        <v>0.74229920549753559</v>
      </c>
    </row>
    <row r="67" spans="1:4" x14ac:dyDescent="0.4">
      <c r="A67" s="1">
        <v>6.6</v>
      </c>
      <c r="B67" s="1">
        <f>_xlfn.NORM.S.DIST(((A67)-'1_全損率'!$G$3)/'1_全損率'!$H$3, TRUE)</f>
        <v>0.24183252485158252</v>
      </c>
      <c r="C67" s="1">
        <f>_xlfn.NORM.S.DIST(((A67)-'2_全半壊率'!$G$3)/'2_全半壊率'!$H$3, TRUE)</f>
        <v>0.52557858644211852</v>
      </c>
      <c r="D67" s="1">
        <f>_xlfn.NORM.S.DIST(((A67)-'3_一部損壊以上率'!$G$3)/'3_一部損壊以上率'!$H$3, TRUE)</f>
        <v>0.7507716430903838</v>
      </c>
    </row>
    <row r="68" spans="1:4" x14ac:dyDescent="0.4">
      <c r="A68" s="1">
        <v>6.7</v>
      </c>
      <c r="B68" s="1">
        <f>_xlfn.NORM.S.DIST(((A68)-'1_全損率'!$G$3)/'1_全損率'!$H$3, TRUE)</f>
        <v>0.24654892631795683</v>
      </c>
      <c r="C68" s="1">
        <f>_xlfn.NORM.S.DIST(((A68)-'2_全半壊率'!$G$3)/'2_全半壊率'!$H$3, TRUE)</f>
        <v>0.53562593528089397</v>
      </c>
      <c r="D68" s="1">
        <f>_xlfn.NORM.S.DIST(((A68)-'3_一部損壊以上率'!$G$3)/'3_一部損壊以上率'!$H$3, TRUE)</f>
        <v>0.75909363162134713</v>
      </c>
    </row>
    <row r="69" spans="1:4" x14ac:dyDescent="0.4">
      <c r="A69" s="1">
        <v>6.8</v>
      </c>
      <c r="B69" s="1">
        <f>_xlfn.NORM.S.DIST(((A69)-'1_全損率'!$G$3)/'1_全損率'!$H$3, TRUE)</f>
        <v>0.25131416356511604</v>
      </c>
      <c r="C69" s="1">
        <f>_xlfn.NORM.S.DIST(((A69)-'2_全半壊率'!$G$3)/'2_全半壊率'!$H$3, TRUE)</f>
        <v>0.54565061649372359</v>
      </c>
      <c r="D69" s="1">
        <f>_xlfn.NORM.S.DIST(((A69)-'3_一部損壊以上率'!$G$3)/'3_一部損壊以上率'!$H$3, TRUE)</f>
        <v>0.76726211767530517</v>
      </c>
    </row>
    <row r="70" spans="1:4" x14ac:dyDescent="0.4">
      <c r="A70" s="1">
        <v>6.9</v>
      </c>
      <c r="B70" s="1">
        <f>_xlfn.NORM.S.DIST(((A70)-'1_全損率'!$G$3)/'1_全損率'!$H$3, TRUE)</f>
        <v>0.25612765478674687</v>
      </c>
      <c r="C70" s="1">
        <f>_xlfn.NORM.S.DIST(((A70)-'2_全半壊率'!$G$3)/'2_全半壊率'!$H$3, TRUE)</f>
        <v>0.5556463016019173</v>
      </c>
      <c r="D70" s="1">
        <f>_xlfn.NORM.S.DIST(((A70)-'3_一部損壊以上率'!$G$3)/'3_一部損壊以上率'!$H$3, TRUE)</f>
        <v>0.77527431719405049</v>
      </c>
    </row>
    <row r="71" spans="1:4" x14ac:dyDescent="0.4">
      <c r="A71" s="1">
        <v>7</v>
      </c>
      <c r="B71" s="1">
        <f>_xlfn.NORM.S.DIST(((A71)-'1_全損率'!$G$3)/'1_全損率'!$H$3, TRUE)</f>
        <v>0.26098879037629297</v>
      </c>
      <c r="C71" s="1">
        <f>_xlfn.NORM.S.DIST(((A71)-'2_全半壊率'!$G$3)/'2_全半壊率'!$H$3, TRUE)</f>
        <v>0.56560671736741419</v>
      </c>
      <c r="D71" s="1">
        <f>_xlfn.NORM.S.DIST(((A71)-'3_一部損壊以上率'!$G$3)/'3_一部損壊以上率'!$H$3, TRUE)</f>
        <v>0.78312771621036015</v>
      </c>
    </row>
    <row r="72" spans="1:4" x14ac:dyDescent="0.4">
      <c r="A72" s="1">
        <v>7.1</v>
      </c>
      <c r="B72" s="1">
        <f>_xlfn.NORM.S.DIST(((A72)-'1_全損率'!$G$3)/'1_全損率'!$H$3, TRUE)</f>
        <v>0.26589693306376483</v>
      </c>
      <c r="C72" s="1">
        <f>_xlfn.NORM.S.DIST(((A72)-'2_全半壊率'!$G$3)/'2_全半壊率'!$H$3, TRUE)</f>
        <v>0.57552565759932928</v>
      </c>
      <c r="D72" s="1">
        <f>_xlfn.NORM.S.DIST(((A72)-'3_一部損壊以上率'!$G$3)/'3_一部損壊以上率'!$H$3, TRUE)</f>
        <v>0.79082007081875816</v>
      </c>
    </row>
    <row r="73" spans="1:4" x14ac:dyDescent="0.4">
      <c r="A73" s="1">
        <v>7.2</v>
      </c>
      <c r="B73" s="1">
        <f>_xlfn.NORM.S.DIST(((A73)-'1_全損率'!$G$3)/'1_全損率'!$H$3, TRUE)</f>
        <v>0.27085141807901841</v>
      </c>
      <c r="C73" s="1">
        <f>_xlfn.NORM.S.DIST(((A73)-'2_全半壊率'!$G$3)/'2_全半壊率'!$H$3, TRUE)</f>
        <v>0.58539699474811879</v>
      </c>
      <c r="D73" s="1">
        <f>_xlfn.NORM.S.DIST(((A73)-'3_一部損壊以上率'!$G$3)/'3_一部損壊以上率'!$H$3, TRUE)</f>
        <v>0.79834940639793028</v>
      </c>
    </row>
    <row r="74" spans="1:4" x14ac:dyDescent="0.4">
      <c r="A74" s="1">
        <v>7.3</v>
      </c>
      <c r="B74" s="1">
        <f>_xlfn.NORM.S.DIST(((A74)-'1_全損率'!$G$3)/'1_全損率'!$H$3, TRUE)</f>
        <v>0.27585155334157729</v>
      </c>
      <c r="C74" s="1">
        <f>_xlfn.NORM.S.DIST(((A74)-'2_全半壊率'!$G$3)/'2_全半壊率'!$H$3, TRUE)</f>
        <v>0.5952146912512879</v>
      </c>
      <c r="D74" s="1">
        <f>_xlfn.NORM.S.DIST(((A74)-'3_一部損壊以上率'!$G$3)/'3_一部損壊以上率'!$H$3, TRUE)</f>
        <v>0.80571401610257398</v>
      </c>
    </row>
    <row r="75" spans="1:4" x14ac:dyDescent="0.4">
      <c r="A75" s="1">
        <v>7.4</v>
      </c>
      <c r="B75" s="1">
        <f>_xlfn.NORM.S.DIST(((A75)-'1_全損率'!$G$3)/'1_全損率'!$H$3, TRUE)</f>
        <v>0.2808966196770365</v>
      </c>
      <c r="C75" s="1">
        <f>_xlfn.NORM.S.DIST(((A75)-'2_全半壊率'!$G$3)/'2_全半壊率'!$H$3, TRUE)</f>
        <v>0.60497281059566232</v>
      </c>
      <c r="D75" s="1">
        <f>_xlfn.NORM.S.DIST(((A75)-'3_一部損壊以上率'!$G$3)/'3_一部損壊以上率'!$H$3, TRUE)</f>
        <v>0.81291245864513195</v>
      </c>
    </row>
    <row r="76" spans="1:4" x14ac:dyDescent="0.4">
      <c r="A76" s="1">
        <v>7.5</v>
      </c>
      <c r="B76" s="1">
        <f>_xlfn.NORM.S.DIST(((A76)-'1_全損率'!$G$3)/'1_全損率'!$H$3, TRUE)</f>
        <v>0.28598587106005058</v>
      </c>
      <c r="C76" s="1">
        <f>_xlfn.NORM.S.DIST(((A76)-'2_全半壊率'!$G$3)/'2_全半壊率'!$H$3, TRUE)</f>
        <v>0.61466552806249219</v>
      </c>
      <c r="D76" s="1">
        <f>_xlfn.NORM.S.DIST(((A76)-'3_一部損壊以上率'!$G$3)/'3_一部損壊以上率'!$H$3, TRUE)</f>
        <v>0.81994355539038188</v>
      </c>
    </row>
    <row r="77" spans="1:4" x14ac:dyDescent="0.4">
      <c r="A77" s="1">
        <v>7.6</v>
      </c>
      <c r="B77" s="1">
        <f>_xlfn.NORM.S.DIST(((A77)-'1_全損率'!$G$3)/'1_全損率'!$H$3, TRUE)</f>
        <v>0.29111853488387057</v>
      </c>
      <c r="C77" s="1">
        <f>_xlfn.NORM.S.DIST(((A77)-'2_全半壊率'!$G$3)/'2_全半壊率'!$H$3, TRUE)</f>
        <v>0.62428714112305406</v>
      </c>
      <c r="D77" s="1">
        <f>_xlfn.NORM.S.DIST(((A77)-'3_一部損壊以上率'!$G$3)/'3_一部損壊以上率'!$H$3, TRUE)</f>
        <v>0.82680638678820295</v>
      </c>
    </row>
    <row r="78" spans="1:4" x14ac:dyDescent="0.4">
      <c r="A78" s="1">
        <v>7.7</v>
      </c>
      <c r="B78" s="1">
        <f>_xlfn.NORM.S.DIST(((A78)-'1_全損率'!$G$3)/'1_全損率'!$H$3, TRUE)</f>
        <v>0.29629381225636264</v>
      </c>
      <c r="C78" s="1">
        <f>_xlfn.NORM.S.DIST(((A78)-'2_全半壊率'!$G$3)/'2_全半壊率'!$H$3, TRUE)</f>
        <v>0.63383207945394104</v>
      </c>
      <c r="D78" s="1">
        <f>_xlfn.NORM.S.DIST(((A78)-'3_一部損壊以上率'!$G$3)/'3_一部損壊以上率'!$H$3, TRUE)</f>
        <v>0.83350028817202071</v>
      </c>
    </row>
    <row r="79" spans="1:4" x14ac:dyDescent="0.4">
      <c r="A79" s="1">
        <v>7.8</v>
      </c>
      <c r="B79" s="1">
        <f>_xlfn.NORM.S.DIST(((A79)-'1_全損率'!$G$3)/'1_全損率'!$H$3, TRUE)</f>
        <v>0.30151087832239876</v>
      </c>
      <c r="C79" s="1">
        <f>_xlfn.NORM.S.DIST(((A79)-'2_全半壊率'!$G$3)/'2_全半壊率'!$H$3, TRUE)</f>
        <v>0.64329491454289245</v>
      </c>
      <c r="D79" s="1">
        <f>_xlfn.NORM.S.DIST(((A79)-'3_一部損壊以上率'!$G$3)/'3_一部損壊以上率'!$H$3, TRUE)</f>
        <v>0.8400248449524208</v>
      </c>
    </row>
    <row r="80" spans="1:4" x14ac:dyDescent="0.4">
      <c r="A80" s="1">
        <v>7.9</v>
      </c>
      <c r="B80" s="1">
        <f>_xlfn.NORM.S.DIST(((A80)-'1_全損率'!$G$3)/'1_全損率'!$H$3, TRUE)</f>
        <v>0.30676888261247687</v>
      </c>
      <c r="C80" s="1">
        <f>_xlfn.NORM.S.DIST(((A80)-'2_全半壊率'!$G$3)/'2_全半壊率'!$H$3, TRUE)</f>
        <v>0.65267036885778607</v>
      </c>
      <c r="D80" s="1">
        <f>_xlfn.NORM.S.DIST(((A80)-'3_一部損壊以上率'!$G$3)/'3_一部損壊以上率'!$H$3, TRUE)</f>
        <v>0.84637988723723523</v>
      </c>
    </row>
    <row r="81" spans="1:4" x14ac:dyDescent="0.4">
      <c r="A81" s="1">
        <v>8</v>
      </c>
      <c r="B81" s="1">
        <f>_xlfn.NORM.S.DIST(((A81)-'1_全損率'!$G$3)/'1_全損率'!$H$3, TRUE)</f>
        <v>0.31206694941739055</v>
      </c>
      <c r="C81" s="1">
        <f>_xlfn.NORM.S.DIST(((A81)-'2_全半壊率'!$G$3)/'2_全半壊率'!$H$3, TRUE)</f>
        <v>0.66195332455329736</v>
      </c>
      <c r="D81" s="1">
        <f>_xlfn.NORM.S.DIST(((A81)-'3_一部損壊以上率'!$G$3)/'3_一部損壊以上率'!$H$3, TRUE)</f>
        <v>0.85256548391100351</v>
      </c>
    </row>
    <row r="82" spans="1:4" x14ac:dyDescent="0.4">
      <c r="A82" s="1">
        <v>8.1</v>
      </c>
      <c r="B82" s="1">
        <f>_xlfn.NORM.S.DIST(((A82)-'1_全損率'!$G$3)/'1_全損率'!$H$3, TRUE)</f>
        <v>0.31740417818873012</v>
      </c>
      <c r="C82" s="1">
        <f>_xlfn.NORM.S.DIST(((A82)-'2_全半壊率'!$G$3)/'2_全半壊率'!$H$3, TRUE)</f>
        <v>0.67113883169171529</v>
      </c>
      <c r="D82" s="1">
        <f>_xlfn.NORM.S.DIST(((A82)-'3_一部損壊以上率'!$G$3)/'3_一部損壊以上率'!$H$3, TRUE)</f>
        <v>0.85858193620813006</v>
      </c>
    </row>
    <row r="83" spans="1:4" x14ac:dyDescent="0.4">
      <c r="A83" s="1">
        <v>8.1999999999999993</v>
      </c>
      <c r="B83" s="1">
        <f>_xlfn.NORM.S.DIST(((A83)-'1_全損率'!$G$3)/'1_全損率'!$H$3, TRUE)</f>
        <v>0.32277964396496062</v>
      </c>
      <c r="C83" s="1">
        <f>_xlfn.NORM.S.DIST(((A83)-'2_全半壊率'!$G$3)/'2_全半壊率'!$H$3, TRUE)</f>
        <v>0.68022211595646542</v>
      </c>
      <c r="D83" s="1">
        <f>_xlfn.NORM.S.DIST(((A83)-'3_一部損壊以上率'!$G$3)/'3_一部損壊以上率'!$H$3, TRUE)</f>
        <v>0.86442977081526196</v>
      </c>
    </row>
    <row r="84" spans="1:4" x14ac:dyDescent="0.4">
      <c r="A84" s="1">
        <v>8.3000000000000007</v>
      </c>
      <c r="B84" s="1">
        <f>_xlfn.NORM.S.DIST(((A84)-'1_全損率'!$G$3)/'1_全損率'!$H$3, TRUE)</f>
        <v>0.32819239782278653</v>
      </c>
      <c r="C84" s="1">
        <f>_xlfn.NORM.S.DIST(((A84)-'2_全半壊率'!$G$3)/'2_全半壊率'!$H$3, TRUE)</f>
        <v>0.68919858583903737</v>
      </c>
      <c r="D84" s="1">
        <f>_xlfn.NORM.S.DIST(((A84)-'3_一部損壊以上率'!$G$3)/'3_一部損壊以上率'!$H$3, TRUE)</f>
        <v>0.87010973253941493</v>
      </c>
    </row>
    <row r="85" spans="1:4" x14ac:dyDescent="0.4">
      <c r="A85" s="1">
        <v>8.4</v>
      </c>
      <c r="B85" s="1">
        <f>_xlfn.NORM.S.DIST(((A85)-'1_全損率'!$G$3)/'1_全損率'!$H$3, TRUE)</f>
        <v>0.3336414673534745</v>
      </c>
      <c r="C85" s="1">
        <f>_xlfn.NORM.S.DIST(((A85)-'2_全半壊率'!$G$3)/'2_全半壊率'!$H$3, TRUE)</f>
        <v>0.69806383928221982</v>
      </c>
      <c r="D85" s="1">
        <f>_xlfn.NORM.S.DIST(((A85)-'3_一部損壊以上率'!$G$3)/'3_一部損壊以上率'!$H$3, TRUE)</f>
        <v>0.87562277657918042</v>
      </c>
    </row>
    <row r="86" spans="1:4" x14ac:dyDescent="0.4">
      <c r="A86" s="1">
        <v>8.5</v>
      </c>
      <c r="B86" s="1">
        <f>_xlfn.NORM.S.DIST(((A86)-'1_全損率'!$G$3)/'1_全損率'!$H$3, TRUE)</f>
        <v>0.33912585716377197</v>
      </c>
      <c r="C86" s="1">
        <f>_xlfn.NORM.S.DIST(((A86)-'2_全半壊率'!$G$3)/'2_全半壊率'!$H$3, TRUE)</f>
        <v>0.70681366976480409</v>
      </c>
      <c r="D86" s="1">
        <f>_xlfn.NORM.S.DIST(((A86)-'3_一部損壊以上率'!$G$3)/'3_一部損壊以上率'!$H$3, TRUE)</f>
        <v>0.88097006043693937</v>
      </c>
    </row>
    <row r="87" spans="1:4" x14ac:dyDescent="0.4">
      <c r="A87" s="1">
        <v>8.6</v>
      </c>
      <c r="B87" s="1">
        <f>_xlfn.NORM.S.DIST(((A87)-'1_全損率'!$G$3)/'1_全損率'!$H$3, TRUE)</f>
        <v>0.34464454940102018</v>
      </c>
      <c r="C87" s="1">
        <f>_xlfn.NORM.S.DIST(((A87)-'2_全半壊率'!$G$3)/'2_全半壊率'!$H$3, TRUE)</f>
        <v>0.71544407181521552</v>
      </c>
      <c r="D87" s="1">
        <f>_xlfn.NORM.S.DIST(((A87)-'3_一部損壊以上率'!$G$3)/'3_一部損壊以上率'!$H$3, TRUE)</f>
        <v>0.88615293551040908</v>
      </c>
    </row>
    <row r="88" spans="1:4" x14ac:dyDescent="0.4">
      <c r="A88" s="1">
        <v>8.6999999999999993</v>
      </c>
      <c r="B88" s="1">
        <f>_xlfn.NORM.S.DIST(((A88)-'1_全損率'!$G$3)/'1_全損率'!$H$3, TRUE)</f>
        <v>0.35019650430202742</v>
      </c>
      <c r="C88" s="1">
        <f>_xlfn.NORM.S.DIST(((A88)-'2_全半壊率'!$G$3)/'2_全半壊率'!$H$3, TRUE)</f>
        <v>0.72395124594385862</v>
      </c>
      <c r="D88" s="1">
        <f>_xlfn.NORM.S.DIST(((A88)-'3_一部損壊以上率'!$G$3)/'3_一部損壊以上率'!$H$3, TRUE)</f>
        <v>0.89117293840205036</v>
      </c>
    </row>
    <row r="89" spans="1:4" x14ac:dyDescent="0.4">
      <c r="A89" s="1">
        <v>8.8000000000000007</v>
      </c>
      <c r="B89" s="1">
        <f>_xlfn.NORM.S.DIST(((A89)-'1_全損率'!$G$3)/'1_全損率'!$H$3, TRUE)</f>
        <v>0.35578066076523074</v>
      </c>
      <c r="C89" s="1">
        <f>_xlfn.NORM.S.DIST(((A89)-'2_全半壊率'!$G$3)/'2_全半壊率'!$H$3, TRUE)</f>
        <v>0.73233160298630573</v>
      </c>
      <c r="D89" s="1">
        <f>_xlfn.NORM.S.DIST(((A89)-'3_一部損壊以上率'!$G$3)/'3_一部損壊以上率'!$H$3, TRUE)</f>
        <v>0.89603178198487066</v>
      </c>
    </row>
    <row r="90" spans="1:4" x14ac:dyDescent="0.4">
      <c r="A90" s="1">
        <v>8.9</v>
      </c>
      <c r="B90" s="1">
        <f>_xlfn.NORM.S.DIST(((A90)-'1_全損率'!$G$3)/'1_全損率'!$H$3, TRUE)</f>
        <v>0.36139593694564254</v>
      </c>
      <c r="C90" s="1">
        <f>_xlfn.NORM.S.DIST(((A90)-'2_全半壊率'!$G$3)/'2_全半壊率'!$H$3, TRUE)</f>
        <v>0.74058176785180119</v>
      </c>
      <c r="D90" s="1">
        <f>_xlfn.NORM.S.DIST(((A90)-'3_一部損壊以上率'!$G$3)/'3_一部損壊以上率'!$H$3, TRUE)</f>
        <v>0.90073134626298224</v>
      </c>
    </row>
    <row r="91" spans="1:4" x14ac:dyDescent="0.4">
      <c r="A91" s="1">
        <v>9</v>
      </c>
      <c r="B91" s="1">
        <f>_xlfn.NORM.S.DIST(((A91)-'1_全損率'!$G$3)/'1_全損率'!$H$3, TRUE)</f>
        <v>0.36704123087204182</v>
      </c>
      <c r="C91" s="1">
        <f>_xlfn.NORM.S.DIST(((A91)-'2_全半壊率'!$G$3)/'2_全半壊率'!$H$3, TRUE)</f>
        <v>0.74869858267389633</v>
      </c>
      <c r="D91" s="1">
        <f>_xlfn.NORM.S.DIST(((A91)-'3_一部損壊以上率'!$G$3)/'3_一部損壊以上率'!$H$3, TRUE)</f>
        <v>0.9052736690649188</v>
      </c>
    </row>
    <row r="92" spans="1:4" x14ac:dyDescent="0.4">
      <c r="A92" s="1">
        <v>9.1</v>
      </c>
      <c r="B92" s="1">
        <f>_xlfn.NORM.S.DIST(((A92)-'1_全損率'!$G$3)/'1_全損率'!$H$3, TRUE)</f>
        <v>0.37271542108583877</v>
      </c>
      <c r="C92" s="1">
        <f>_xlfn.NORM.S.DIST(((A92)-'2_全半壊率'!$G$3)/'2_全半壊率'!$H$3, TRUE)</f>
        <v>0.75667910936234029</v>
      </c>
      <c r="D92" s="1">
        <f>_xlfn.NORM.S.DIST(((A92)-'3_一部損壊以上率'!$G$3)/'3_一部損壊以上率'!$H$3, TRUE)</f>
        <v>0.90966093660718428</v>
      </c>
    </row>
    <row r="93" spans="1:4" x14ac:dyDescent="0.4">
      <c r="A93" s="1">
        <v>9.1999999999999993</v>
      </c>
      <c r="B93" s="1">
        <f>_xlfn.NORM.S.DIST(((A93)-'1_全損率'!$G$3)/'1_全損率'!$H$3, TRUE)</f>
        <v>0.37841736730100545</v>
      </c>
      <c r="C93" s="1">
        <f>_xlfn.NORM.S.DIST(((A93)-'2_全半壊率'!$G$3)/'2_全半壊率'!$H$3, TRUE)</f>
        <v>0.76452063155764538</v>
      </c>
      <c r="D93" s="1">
        <f>_xlfn.NORM.S.DIST(((A93)-'3_一部損壊以上率'!$G$3)/'3_一部損壊以上率'!$H$3, TRUE)</f>
        <v>0.91389547396481519</v>
      </c>
    </row>
    <row r="94" spans="1:4" x14ac:dyDescent="0.4">
      <c r="A94" s="1">
        <v>9.3000000000000007</v>
      </c>
      <c r="B94" s="1">
        <f>_xlfn.NORM.S.DIST(((A94)-'1_全損率'!$G$3)/'1_全損率'!$H$3, TRUE)</f>
        <v>0.3841459110844383</v>
      </c>
      <c r="C94" s="1">
        <f>_xlfn.NORM.S.DIST(((A94)-'2_全半壊率'!$G$3)/'2_全半壊率'!$H$3, TRUE)</f>
        <v>0.7722206559919863</v>
      </c>
      <c r="D94" s="1">
        <f>_xlfn.NORM.S.DIST(((A94)-'3_一部損壊以上率'!$G$3)/'3_一部損壊以上率'!$H$3, TRUE)</f>
        <v>0.91797973548489531</v>
      </c>
    </row>
    <row r="95" spans="1:4" x14ac:dyDescent="0.4">
      <c r="A95" s="1">
        <v>9.4</v>
      </c>
      <c r="B95" s="1">
        <f>_xlfn.NORM.S.DIST(((A95)-'1_全損率'!$G$3)/'1_全損率'!$H$3, TRUE)</f>
        <v>0.38989987655608244</v>
      </c>
      <c r="C95" s="1">
        <f>_xlfn.NORM.S.DIST(((A95)-'2_全半壊率'!$G$3)/'2_全半壊率'!$H$3, TRUE)</f>
        <v>0.77977691326227982</v>
      </c>
      <c r="D95" s="1">
        <f>_xlfn.NORM.S.DIST(((A95)-'3_一部損壊以上率'!$G$3)/'3_一部損壊以上率'!$H$3, TRUE)</f>
        <v>0.92191629517796425</v>
      </c>
    </row>
    <row r="96" spans="1:4" x14ac:dyDescent="0.4">
      <c r="A96" s="1">
        <v>9.5</v>
      </c>
      <c r="B96" s="1">
        <f>_xlfn.NORM.S.DIST(((A96)-'1_全損率'!$G$3)/'1_全損率'!$H$3, TRUE)</f>
        <v>0.39567807110812098</v>
      </c>
      <c r="C96" s="1">
        <f>_xlfn.NORM.S.DIST(((A96)-'2_全半壊率'!$G$3)/'2_全半壊率'!$H$3, TRUE)</f>
        <v>0.78718735802342832</v>
      </c>
      <c r="D96" s="1">
        <f>_xlfn.NORM.S.DIST(((A96)-'3_一部損壊以上率'!$G$3)/'3_一部損壊以上率'!$H$3, TRUE)</f>
        <v>0.92570783712114402</v>
      </c>
    </row>
    <row r="97" spans="1:4" x14ac:dyDescent="0.4">
      <c r="A97" s="1">
        <v>9.6</v>
      </c>
      <c r="B97" s="1">
        <f>_xlfn.NORM.S.DIST(((A97)-'1_全損率'!$G$3)/'1_全損率'!$H$3, TRUE)</f>
        <v>0.40147928614250117</v>
      </c>
      <c r="C97" s="1">
        <f>_xlfn.NORM.S.DIST(((A97)-'2_全半壊率'!$G$3)/'2_全半壊率'!$H$3, TRUE)</f>
        <v>0.79445016861175111</v>
      </c>
      <c r="D97" s="1">
        <f>_xlfn.NORM.S.DIST(((A97)-'3_一部損壊以上率'!$G$3)/'3_一部損壊以上率'!$H$3, TRUE)</f>
        <v>0.92935714590555318</v>
      </c>
    </row>
    <row r="98" spans="1:4" x14ac:dyDescent="0.4">
      <c r="A98" s="1">
        <v>9.6999999999999993</v>
      </c>
      <c r="B98" s="1">
        <f>_xlfn.NORM.S.DIST(((A98)-'1_全損率'!$G$3)/'1_全損率'!$H$3, TRUE)</f>
        <v>0.40730229782604255</v>
      </c>
      <c r="C98" s="1">
        <f>_xlfn.NORM.S.DIST(((A98)-'2_全半壊率'!$G$3)/'2_全半壊率'!$H$3, TRUE)</f>
        <v>0.80156374611061332</v>
      </c>
      <c r="D98" s="1">
        <f>_xlfn.NORM.S.DIST(((A98)-'3_一部損壊以上率'!$G$3)/'3_一部損壊以上率'!$H$3, TRUE)</f>
        <v>0.93286709715922234</v>
      </c>
    </row>
    <row r="99" spans="1:4" x14ac:dyDescent="0.4">
      <c r="A99" s="1">
        <v>9.8000000000000007</v>
      </c>
      <c r="B99" s="1">
        <f>_xlfn.NORM.S.DIST(((A99)-'1_全損率'!$G$3)/'1_全損率'!$H$3, TRUE)</f>
        <v>0.41314586786234486</v>
      </c>
      <c r="C99" s="1">
        <f>_xlfn.NORM.S.DIST(((A99)-'2_全半壊率'!$G$3)/'2_全半壊率'!$H$3, TRUE)</f>
        <v>0.80852671287213385</v>
      </c>
      <c r="D99" s="1">
        <f>_xlfn.NORM.S.DIST(((A99)-'3_一部損壊以上率'!$G$3)/'3_一部損壊以上率'!$H$3, TRUE)</f>
        <v>0.93624064817526165</v>
      </c>
    </row>
    <row r="100" spans="1:4" x14ac:dyDescent="0.4">
      <c r="A100" s="1">
        <v>9.9</v>
      </c>
      <c r="B100" s="1">
        <f>_xlfn.NORM.S.DIST(((A100)-'1_全損率'!$G$3)/'1_全損率'!$H$3, TRUE)</f>
        <v>0.41900874427968632</v>
      </c>
      <c r="C100" s="1">
        <f>_xlfn.NORM.S.DIST(((A100)-'2_全半壊率'!$G$3)/'2_全半壊率'!$H$3, TRUE)</f>
        <v>0.81533791051064264</v>
      </c>
      <c r="D100" s="1">
        <f>_xlfn.NORM.S.DIST(((A100)-'3_一部損壊以上率'!$G$3)/'3_一部損壊以上率'!$H$3, TRUE)</f>
        <v>0.93948082867348148</v>
      </c>
    </row>
    <row r="101" spans="1:4" x14ac:dyDescent="0.4">
      <c r="A101" s="1">
        <v>10</v>
      </c>
      <c r="B101" s="1">
        <f>_xlfn.NORM.S.DIST(((A101)-'1_全損率'!$G$3)/'1_全損率'!$H$3, TRUE)</f>
        <v>0.42488966223408103</v>
      </c>
      <c r="C101" s="1">
        <f>_xlfn.NORM.S.DIST(((A101)-'2_全半壊率'!$G$3)/'2_全半壊率'!$H$3, TRUE)</f>
        <v>0.82199639738523511</v>
      </c>
      <c r="D101" s="1">
        <f>_xlfn.NORM.S.DIST(((A101)-'3_一部損壊以上率'!$G$3)/'3_一部損壊以上率'!$H$3, TRUE)</f>
        <v>0.94259073172204466</v>
      </c>
    </row>
    <row r="102" spans="1:4" x14ac:dyDescent="0.4">
      <c r="A102" s="1">
        <v>10.1</v>
      </c>
      <c r="B102" s="1">
        <f>_xlfn.NORM.S.DIST(((A102)-'1_全損率'!$G$3)/'1_全損率'!$H$3, TRUE)</f>
        <v>0.43078734482663678</v>
      </c>
      <c r="C102" s="1">
        <f>_xlfn.NORM.S.DIST(((A102)-'2_全半壊率'!$G$3)/'2_全半壊率'!$H$3, TRUE)</f>
        <v>0.82850144559033434</v>
      </c>
      <c r="D102" s="1">
        <f>_xlfn.NORM.S.DIST(((A102)-'3_一部損壊以上率'!$G$3)/'3_一部損壊以上率'!$H$3, TRUE)</f>
        <v>0.94557350484403102</v>
      </c>
    </row>
    <row r="103" spans="1:4" x14ac:dyDescent="0.4">
      <c r="A103" s="1">
        <v>10.199999999999999</v>
      </c>
      <c r="B103" s="1">
        <f>_xlfn.NORM.S.DIST(((A103)-'1_全損率'!$G$3)/'1_全損率'!$H$3, TRUE)</f>
        <v>0.43670050393433607</v>
      </c>
      <c r="C103" s="1">
        <f>_xlfn.NORM.S.DIST(((A103)-'2_全半壊率'!$G$3)/'2_全半壊率'!$H$3, TRUE)</f>
        <v>0.83485253747462673</v>
      </c>
      <c r="D103" s="1">
        <f>_xlfn.NORM.S.DIST(((A103)-'3_一部損壊以上率'!$G$3)/'3_一部損壊以上率'!$H$3, TRUE)</f>
        <v>0.94843234133205567</v>
      </c>
    </row>
    <row r="104" spans="1:4" x14ac:dyDescent="0.4">
      <c r="A104" s="1">
        <v>10.3</v>
      </c>
      <c r="B104" s="1">
        <f>_xlfn.NORM.S.DIST(((A104)-'1_全損率'!$G$3)/'1_全損率'!$H$3, TRUE)</f>
        <v>0.44262784105333985</v>
      </c>
      <c r="C104" s="1">
        <f>_xlfn.NORM.S.DIST(((A104)-'2_全半壊率'!$G$3)/'2_全半壊率'!$H$3, TRUE)</f>
        <v>0.84104936171006117</v>
      </c>
      <c r="D104" s="1">
        <f>_xlfn.NORM.S.DIST(((A104)-'3_一部損壊以上率'!$G$3)/'3_一部損壊以上率'!$H$3, TRUE)</f>
        <v>0.95117047179229275</v>
      </c>
    </row>
    <row r="105" spans="1:4" x14ac:dyDescent="0.4">
      <c r="A105" s="1">
        <v>10.4</v>
      </c>
      <c r="B105" s="1">
        <f>_xlfn.NORM.S.DIST(((A105)-'1_全損率'!$G$3)/'1_全損率'!$H$3, TRUE)</f>
        <v>0.44856804815389395</v>
      </c>
      <c r="C105" s="1">
        <f>_xlfn.NORM.S.DIST(((A105)-'2_全半壊率'!$G$3)/'2_全半壊率'!$H$3, TRUE)</f>
        <v>0.84709180893380165</v>
      </c>
      <c r="D105" s="1">
        <f>_xlfn.NORM.S.DIST(((A105)-'3_一部損壊以上率'!$G$3)/'3_一部損壊以上率'!$H$3, TRUE)</f>
        <v>0.95379115593744357</v>
      </c>
    </row>
    <row r="106" spans="1:4" x14ac:dyDescent="0.4">
      <c r="A106" s="1">
        <v>10.5</v>
      </c>
      <c r="B106" s="1">
        <f>_xlfn.NORM.S.DIST(((A106)-'1_全損率'!$G$3)/'1_全損率'!$H$3, TRUE)</f>
        <v>0.45451980854590324</v>
      </c>
      <c r="C106" s="1">
        <f>_xlfn.NORM.S.DIST(((A106)-'2_全半壊率'!$G$3)/'2_全半壊率'!$H$3, TRUE)</f>
        <v>0.85297996698710199</v>
      </c>
      <c r="D106" s="1">
        <f>_xlfn.NORM.S.DIST(((A106)-'3_一部損壊以上率'!$G$3)/'3_一部損壊以上率'!$H$3, TRUE)</f>
        <v>0.95629767464634774</v>
      </c>
    </row>
    <row r="107" spans="1:4" x14ac:dyDescent="0.4">
      <c r="A107" s="1">
        <v>10.6</v>
      </c>
      <c r="B107" s="1">
        <f>_xlfn.NORM.S.DIST(((A107)-'1_全損率'!$G$3)/'1_全損率'!$H$3, TRUE)</f>
        <v>0.46048179775421594</v>
      </c>
      <c r="C107" s="1">
        <f>_xlfn.NORM.S.DIST(((A107)-'2_全半壊率'!$G$3)/'2_全半壊率'!$H$3, TRUE)</f>
        <v>0.85871411577600465</v>
      </c>
      <c r="D107" s="1">
        <f>_xlfn.NORM.S.DIST(((A107)-'3_一部損壊以上率'!$G$3)/'3_一部損壊以上率'!$H$3, TRUE)</f>
        <v>0.95869332230609716</v>
      </c>
    </row>
    <row r="108" spans="1:4" x14ac:dyDescent="0.4">
      <c r="A108" s="1">
        <v>10.7</v>
      </c>
      <c r="B108" s="1">
        <f>_xlfn.NORM.S.DIST(((A108)-'1_全損率'!$G$3)/'1_全損率'!$H$3, TRUE)</f>
        <v>0.46645268440265075</v>
      </c>
      <c r="C108" s="1">
        <f>_xlfn.NORM.S.DIST(((A108)-'2_全半壊率'!$G$3)/'2_全半壊率'!$H$3, TRUE)</f>
        <v>0.86429472177958122</v>
      </c>
      <c r="D108" s="1">
        <f>_xlfn.NORM.S.DIST(((A108)-'3_一部損壊以上率'!$G$3)/'3_一部損壊以上率'!$H$3, TRUE)</f>
        <v>0.96098139945066963</v>
      </c>
    </row>
    <row r="109" spans="1:4" x14ac:dyDescent="0.4">
      <c r="A109" s="1">
        <v>10.8</v>
      </c>
      <c r="B109" s="1">
        <f>_xlfn.NORM.S.DIST(((A109)-'1_全損率'!$G$3)/'1_全損率'!$H$3, TRUE)</f>
        <v>0.47243113110578389</v>
      </c>
      <c r="C109" s="1">
        <f>_xlfn.NORM.S.DIST(((A109)-'2_全半壊率'!$G$3)/'2_全半壊率'!$H$3, TRUE)</f>
        <v>0.86972243223210211</v>
      </c>
      <c r="D109" s="1">
        <f>_xlfn.NORM.S.DIST(((A109)-'3_一部損壊以上率'!$G$3)/'3_一部損壊以上率'!$H$3, TRUE)</f>
        <v>0.96316520570826913</v>
      </c>
    </row>
    <row r="110" spans="1:4" x14ac:dyDescent="0.4">
      <c r="A110" s="1">
        <v>10.9</v>
      </c>
      <c r="B110" s="1">
        <f>_xlfn.NORM.S.DIST(((A110)-'1_全損率'!$G$3)/'1_全損率'!$H$3, TRUE)</f>
        <v>0.47841579536749856</v>
      </c>
      <c r="C110" s="1">
        <f>_xlfn.NORM.S.DIST(((A110)-'2_全半壊率'!$G$3)/'2_全半壊率'!$H$3, TRUE)</f>
        <v>0.87499806900606603</v>
      </c>
      <c r="D110" s="1">
        <f>_xlfn.NORM.S.DIST(((A110)-'3_一部損壊以上率'!$G$3)/'3_一部損壊以上率'!$H$3, TRUE)</f>
        <v>0.96524803306775686</v>
      </c>
    </row>
    <row r="111" spans="1:4" x14ac:dyDescent="0.4">
      <c r="A111" s="1">
        <v>11</v>
      </c>
      <c r="B111" s="1">
        <f>_xlfn.NORM.S.DIST(((A111)-'1_全損率'!$G$3)/'1_全損率'!$H$3, TRUE)</f>
        <v>0.48440533048529355</v>
      </c>
      <c r="C111" s="1">
        <f>_xlfn.NORM.S.DIST(((A111)-'2_全半壊率'!$G$3)/'2_全半壊率'!$H$3, TRUE)</f>
        <v>0.88012262222342796</v>
      </c>
      <c r="D111" s="1">
        <f>_xlfn.NORM.S.DIST(((A111)-'3_一部損壊以上率'!$G$3)/'3_一部損壊以上率'!$H$3, TRUE)</f>
        <v>0.96723315947277555</v>
      </c>
    </row>
    <row r="112" spans="1:4" x14ac:dyDescent="0.4">
      <c r="A112" s="1">
        <v>11.1</v>
      </c>
      <c r="B112" s="1">
        <f>_xlfn.NORM.S.DIST(((A112)-'1_全損率'!$G$3)/'1_全損率'!$H$3, TRUE)</f>
        <v>0.49039838645933348</v>
      </c>
      <c r="C112" s="1">
        <f>_xlfn.NORM.S.DIST(((A112)-'2_全半壊率'!$G$3)/'2_全半壊率'!$H$3, TRUE)</f>
        <v>0.88509724362263942</v>
      </c>
      <c r="D112" s="1">
        <f>_xlfn.NORM.S.DIST(((A112)-'3_一部損壊以上率'!$G$3)/'3_一部損壊以上率'!$H$3, TRUE)</f>
        <v>0.96912384275043917</v>
      </c>
    </row>
    <row r="113" spans="1:4" x14ac:dyDescent="0.4">
      <c r="A113" s="1">
        <v>11.2</v>
      </c>
      <c r="B113" s="1">
        <f>_xlfn.NORM.S.DIST(((A113)-'1_全損率'!$G$3)/'1_全損率'!$H$3, TRUE)</f>
        <v>0.49639361090521911</v>
      </c>
      <c r="C113" s="1">
        <f>_xlfn.NORM.S.DIST(((A113)-'2_全半壊率'!$G$3)/'2_全半壊率'!$H$3, TRUE)</f>
        <v>0.88992323970926523</v>
      </c>
      <c r="D113" s="1">
        <f>_xlfn.NORM.S.DIST(((A113)-'3_一部損壊以上率'!$G$3)/'3_一部損壊以上率'!$H$3, TRUE)</f>
        <v>0.97092331487976213</v>
      </c>
    </row>
    <row r="114" spans="1:4" x14ac:dyDescent="0.4">
      <c r="A114" s="1">
        <v>11.3</v>
      </c>
      <c r="B114" s="1">
        <f>_xlfn.NORM.S.DIST(((A114)-'1_全損率'!$G$3)/'1_全損率'!$H$3, TRUE)</f>
        <v>0.50238964996944946</v>
      </c>
      <c r="C114" s="1">
        <f>_xlfn.NORM.S.DIST(((A114)-'2_全半壊率'!$G$3)/'2_全半壊率'!$H$3, TRUE)</f>
        <v>0.89460206471795867</v>
      </c>
      <c r="D114" s="1">
        <f>_xlfn.NORM.S.DIST(((A114)-'3_一部損壊以上率'!$G$3)/'3_一部損壊以上率'!$H$3, TRUE)</f>
        <v>0.97263477660337527</v>
      </c>
    </row>
    <row r="115" spans="1:4" x14ac:dyDescent="0.4">
      <c r="A115" s="1">
        <v>11.4</v>
      </c>
      <c r="B115" s="1">
        <f>_xlfn.NORM.S.DIST(((A115)-'1_全損率'!$G$3)/'1_全損率'!$H$3, TRUE)</f>
        <v>0.50838514924654199</v>
      </c>
      <c r="C115" s="1">
        <f>_xlfn.NORM.S.DIST(((A115)-'2_全半壊率'!$G$3)/'2_全半壊率'!$H$3, TRUE)</f>
        <v>0.89913531341347874</v>
      </c>
      <c r="D115" s="1">
        <f>_xlfn.NORM.S.DIST(((A115)-'3_一部損壊以上率'!$G$3)/'3_一部損壊以上率'!$H$3, TRUE)</f>
        <v>0.97426139238449083</v>
      </c>
    </row>
    <row r="116" spans="1:4" x14ac:dyDescent="0.4">
      <c r="A116" s="1">
        <v>11.5</v>
      </c>
      <c r="B116" s="1">
        <f>_xlfn.NORM.S.DIST(((A116)-'1_全損率'!$G$3)/'1_全損率'!$H$3, TRUE)</f>
        <v>0.51437875469677707</v>
      </c>
      <c r="C116" s="1">
        <f>_xlfn.NORM.S.DIST(((A116)-'2_全半壊率'!$G$3)/'2_全半壊率'!$H$3, TRUE)</f>
        <v>0.90352471375821053</v>
      </c>
      <c r="D116" s="1">
        <f>_xlfn.NORM.S.DIST(((A116)-'3_一部損壊以上率'!$G$3)/'3_一部損壊以上率'!$H$3, TRUE)</f>
        <v>0.97580628570957573</v>
      </c>
    </row>
    <row r="117" spans="1:4" x14ac:dyDescent="0.4">
      <c r="A117" s="1">
        <v>11.6</v>
      </c>
      <c r="B117" s="1">
        <f>_xlfn.NORM.S.DIST(((A117)-'1_全損率'!$G$3)/'1_全損率'!$H$3, TRUE)</f>
        <v>0.52036911356352866</v>
      </c>
      <c r="C117" s="1">
        <f>_xlfn.NORM.S.DIST(((A117)-'2_全半壊率'!$G$3)/'2_全半壊率'!$H$3, TRUE)</f>
        <v>0.90777211947331671</v>
      </c>
      <c r="D117" s="1">
        <f>_xlfn.NORM.S.DIST(((A117)-'3_一部損壊以上率'!$G$3)/'3_一部損壊以上率'!$H$3, TRUE)</f>
        <v>0.97727253473574971</v>
      </c>
    </row>
    <row r="118" spans="1:4" x14ac:dyDescent="0.4">
      <c r="A118" s="1">
        <v>11.7</v>
      </c>
      <c r="B118" s="1">
        <f>_xlfn.NORM.S.DIST(((A118)-'1_全損率'!$G$3)/'1_全損率'!$H$3, TRUE)</f>
        <v>0.52635487528914604</v>
      </c>
      <c r="C118" s="1">
        <f>_xlfn.NORM.S.DIST(((A118)-'2_全半壊率'!$G$3)/'2_全半壊率'!$H$3, TRUE)</f>
        <v>0.911879502520204</v>
      </c>
      <c r="D118" s="1">
        <f>_xlfn.NORM.S.DIST(((A118)-'3_一部損壊以上率'!$G$3)/'3_一部損壊以上率'!$H$3, TRUE)</f>
        <v>0.9786631682805641</v>
      </c>
    </row>
    <row r="119" spans="1:4" x14ac:dyDescent="0.4">
      <c r="A119" s="1">
        <v>11.8</v>
      </c>
      <c r="B119" s="1">
        <f>_xlfn.NORM.S.DIST(((A119)-'1_全損率'!$G$3)/'1_全損率'!$H$3, TRUE)</f>
        <v>0.53233469242835407</v>
      </c>
      <c r="C119" s="1">
        <f>_xlfn.NORM.S.DIST(((A119)-'2_全半壊率'!$G$3)/'2_全半壊率'!$H$3, TRUE)</f>
        <v>0.91584894552844287</v>
      </c>
      <c r="D119" s="1">
        <f>_xlfn.NORM.S.DIST(((A119)-'3_一部損壊以上率'!$G$3)/'3_一部損壊以上率'!$H$3, TRUE)</f>
        <v>0.97998116215053055</v>
      </c>
    </row>
    <row r="120" spans="1:4" x14ac:dyDescent="0.4">
      <c r="A120" s="1">
        <v>11.9</v>
      </c>
      <c r="B120" s="1">
        <f>_xlfn.NORM.S.DIST(((A120)-'1_全損率'!$G$3)/'1_全損率'!$H$3, TRUE)</f>
        <v>0.53830722155814159</v>
      </c>
      <c r="C120" s="1">
        <f>_xlfn.NORM.S.DIST(((A120)-'2_全半壊率'!$G$3)/'2_全半壊率'!$H$3, TRUE)</f>
        <v>0.91968263419563423</v>
      </c>
      <c r="D120" s="1">
        <f>_xlfn.NORM.S.DIST(((A120)-'3_一部損壊以上率'!$G$3)/'3_一部損壊以上率'!$H$3, TRUE)</f>
        <v>0.98122943580357069</v>
      </c>
    </row>
    <row r="121" spans="1:4" x14ac:dyDescent="0.4">
      <c r="A121" s="1">
        <v>12</v>
      </c>
      <c r="B121" s="1">
        <f>_xlfn.NORM.S.DIST(((A121)-'1_全損率'!$G$3)/'1_全損率'!$H$3, TRUE)</f>
        <v>0.54427112418311385</v>
      </c>
      <c r="C121" s="1">
        <f>_xlfn.NORM.S.DIST(((A121)-'2_全半壊率'!$G$3)/'2_全半壊率'!$H$3, TRUE)</f>
        <v>0.92338284968398354</v>
      </c>
      <c r="D121" s="1">
        <f>_xlfn.NORM.S.DIST(((A121)-'3_一部損壊以上率'!$G$3)/'3_一部損壊以上率'!$H$3, TRUE)</f>
        <v>0.98241084933943745</v>
      </c>
    </row>
    <row r="122" spans="1:4" x14ac:dyDescent="0.4">
      <c r="A122" s="1">
        <v>12.1</v>
      </c>
      <c r="B122" s="1">
        <f>_xlfn.NORM.S.DIST(((A122)-'1_全損率'!$G$3)/'1_全損率'!$H$3, TRUE)</f>
        <v>0.55022506763529311</v>
      </c>
      <c r="C122" s="1">
        <f>_xlfn.NORM.S.DIST(((A122)-'2_全半壊率'!$G$3)/'2_全半壊率'!$H$3, TRUE)</f>
        <v>0.92695196103752053</v>
      </c>
      <c r="D122" s="1">
        <f>_xlfn.NORM.S.DIST(((A122)-'3_一部損壊以上率'!$G$3)/'3_一部損壊以上率'!$H$3, TRUE)</f>
        <v>0.98352820081112868</v>
      </c>
    </row>
    <row r="123" spans="1:4" x14ac:dyDescent="0.4">
      <c r="A123" s="1">
        <v>12.2</v>
      </c>
      <c r="B123" s="1">
        <f>_xlfn.NORM.S.DIST(((A123)-'1_全損率'!$G$3)/'1_全損率'!$H$3, TRUE)</f>
        <v>0.55616772596735808</v>
      </c>
      <c r="C123" s="1">
        <f>_xlfn.NORM.S.DIST(((A123)-'2_全半壊率'!$G$3)/'2_全半壊率'!$H$3, TRUE)</f>
        <v>0.93039241764301228</v>
      </c>
      <c r="D123" s="1">
        <f>_xlfn.NORM.S.DIST(((A123)-'3_一部損壊以上率'!$G$3)/'3_一部損壊以上率'!$H$3, TRUE)</f>
        <v>0.98458422384937339</v>
      </c>
    </row>
    <row r="124" spans="1:4" x14ac:dyDescent="0.4">
      <c r="A124" s="1">
        <v>12.3</v>
      </c>
      <c r="B124" s="1">
        <f>_xlfn.NORM.S.DIST(((A124)-'1_全損率'!$G$3)/'1_全損率'!$H$3, TRUE)</f>
        <v>0.56209778083832629</v>
      </c>
      <c r="C124" s="1">
        <f>_xlfn.NORM.S.DIST(((A124)-'2_全半壊率'!$G$3)/'2_全半壊率'!$H$3, TRUE)</f>
        <v>0.93370674175664492</v>
      </c>
      <c r="D124" s="1">
        <f>_xlfn.NORM.S.DIST(((A124)-'3_一部損壊以上率'!$G$3)/'3_一部損壊以上率'!$H$3, TRUE)</f>
        <v>0.98558158559140963</v>
      </c>
    </row>
    <row r="125" spans="1:4" x14ac:dyDescent="0.4">
      <c r="A125" s="1">
        <v>12.4</v>
      </c>
      <c r="B125" s="1">
        <f>_xlfn.NORM.S.DIST(((A125)-'1_全損率'!$G$3)/'1_全損率'!$H$3, TRUE)</f>
        <v>0.56801392239069126</v>
      </c>
      <c r="C125" s="1">
        <f>_xlfn.NORM.S.DIST(((A125)-'2_全半壊率'!$G$3)/'2_全半壊率'!$H$3, TRUE)</f>
        <v>0.93689752111752411</v>
      </c>
      <c r="D125" s="1">
        <f>_xlfn.NORM.S.DIST(((A125)-'3_一部損壊以上率'!$G$3)/'3_一部損壊以上率'!$H$3, TRUE)</f>
        <v>0.98652288490451201</v>
      </c>
    </row>
    <row r="126" spans="1:4" x14ac:dyDescent="0.4">
      <c r="A126" s="1">
        <v>12.5</v>
      </c>
      <c r="B126" s="1">
        <f>_xlfn.NORM.S.DIST(((A126)-'1_全損率'!$G$3)/'1_全損率'!$H$3, TRUE)</f>
        <v>0.57391485011804444</v>
      </c>
      <c r="C126" s="1">
        <f>_xlfn.NORM.S.DIST(((A126)-'2_全半壊率'!$G$3)/'2_全半壊率'!$H$3, TRUE)</f>
        <v>0.93996740166795922</v>
      </c>
      <c r="D126" s="1">
        <f>_xlfn.NORM.S.DIST(((A126)-'3_一部損壊以上率'!$G$3)/'3_一部損壊以上率'!$H$3, TRUE)</f>
        <v>0.98741065089404267</v>
      </c>
    </row>
    <row r="127" spans="1:4" x14ac:dyDescent="0.4">
      <c r="A127" s="1">
        <v>12.6</v>
      </c>
      <c r="B127" s="1">
        <f>_xlfn.NORM.S.DIST(((A127)-'1_全損率'!$G$3)/'1_全損率'!$H$3, TRUE)</f>
        <v>0.5797992737222234</v>
      </c>
      <c r="C127" s="1">
        <f>_xlfn.NORM.S.DIST(((A127)-'2_全半壊率'!$G$3)/'2_全半壊率'!$H$3, TRUE)</f>
        <v>0.94291908039936234</v>
      </c>
      <c r="D127" s="1">
        <f>_xlfn.NORM.S.DIST(((A127)-'3_一部損壊以上率'!$G$3)/'3_一部損壊以上率'!$H$3, TRUE)</f>
        <v>0.98824734168520656</v>
      </c>
    </row>
    <row r="128" spans="1:4" x14ac:dyDescent="0.4">
      <c r="A128" s="1">
        <v>12.7</v>
      </c>
      <c r="B128" s="1">
        <f>_xlfn.NORM.S.DIST(((A128)-'1_全損率'!$G$3)/'1_全損率'!$H$3, TRUE)</f>
        <v>0.58566591395904455</v>
      </c>
      <c r="C128" s="1">
        <f>_xlfn.NORM.S.DIST(((A128)-'2_全半壊率'!$G$3)/'2_全半壊率'!$H$3, TRUE)</f>
        <v>0.9457552983414198</v>
      </c>
      <c r="D128" s="1">
        <f>_xlfn.NORM.S.DIST(((A128)-'3_一部損壊以上率'!$G$3)/'3_一部損壊以上率'!$H$3, TRUE)</f>
        <v>0.98903534346718336</v>
      </c>
    </row>
    <row r="129" spans="1:4" x14ac:dyDescent="0.4">
      <c r="A129" s="1">
        <v>12.8</v>
      </c>
      <c r="B129" s="1">
        <f>_xlfn.NORM.S.DIST(((A129)-'1_全損率'!$G$3)/'1_全損率'!$H$3, TRUE)</f>
        <v>0.59151350347169929</v>
      </c>
      <c r="C129" s="1">
        <f>_xlfn.NORM.S.DIST(((A129)-'2_全半壊率'!$G$3)/'2_全半壊率'!$H$3, TRUE)</f>
        <v>0.94847883371098995</v>
      </c>
      <c r="D129" s="1">
        <f>_xlfn.NORM.S.DIST(((A129)-'3_一部損壊以上率'!$G$3)/'3_一部損壊以上率'!$H$3, TRUE)</f>
        <v>0.98977696978788166</v>
      </c>
    </row>
    <row r="130" spans="1:4" x14ac:dyDescent="0.4">
      <c r="A130" s="1">
        <v>12.9</v>
      </c>
      <c r="B130" s="1">
        <f>_xlfn.NORM.S.DIST(((A130)-'1_全損率'!$G$3)/'1_全損率'!$H$3, TRUE)</f>
        <v>0.59734078761090659</v>
      </c>
      <c r="C130" s="1">
        <f>_xlfn.NORM.S.DIST(((A130)-'2_全半壊率'!$G$3)/'2_全半壊率'!$H$3, TRUE)</f>
        <v>0.95109249523594508</v>
      </c>
      <c r="D130" s="1">
        <f>_xlfn.NORM.S.DIST(((A130)-'3_一部損壊以上率'!$G$3)/'3_一部損壊以上率'!$H$3, TRUE)</f>
        <v>0.99047446108721438</v>
      </c>
    </row>
    <row r="131" spans="1:4" x14ac:dyDescent="0.4">
      <c r="A131" s="1">
        <v>13</v>
      </c>
      <c r="B131" s="1">
        <f>_xlfn.NORM.S.DIST(((A131)-'1_全損率'!$G$3)/'1_全損率'!$H$3, TRUE)</f>
        <v>0.60314652524094359</v>
      </c>
      <c r="C131" s="1">
        <f>_xlfn.NORM.S.DIST(((A131)-'2_全半壊率'!$G$3)/'2_全半壊率'!$H$3, TRUE)</f>
        <v>0.9535991156679261</v>
      </c>
      <c r="D131" s="1">
        <f>_xlfn.NORM.S.DIST(((A131)-'3_一部損壊以上率'!$G$3)/'3_一部損壊以上率'!$H$3, TRUE)</f>
        <v>0.99112998445652667</v>
      </c>
    </row>
  </sheetData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E9B1-8FD8-4289-879C-E7D9E752378A}">
  <dimension ref="A2:I205"/>
  <sheetViews>
    <sheetView tabSelected="1" zoomScale="85" zoomScaleNormal="85" workbookViewId="0">
      <selection activeCell="G6" sqref="G6"/>
    </sheetView>
  </sheetViews>
  <sheetFormatPr defaultRowHeight="18.75" x14ac:dyDescent="0.4"/>
  <cols>
    <col min="4" max="4" width="15.125" bestFit="1" customWidth="1"/>
    <col min="5" max="7" width="13.375" bestFit="1" customWidth="1"/>
    <col min="9" max="9" width="13.375" bestFit="1" customWidth="1"/>
  </cols>
  <sheetData>
    <row r="2" spans="1:9" x14ac:dyDescent="0.4">
      <c r="A2" s="1" t="s">
        <v>11</v>
      </c>
      <c r="B2" s="1" t="s">
        <v>12</v>
      </c>
      <c r="C2" s="1" t="s">
        <v>13</v>
      </c>
      <c r="D2" s="1" t="s">
        <v>14</v>
      </c>
    </row>
    <row r="3" spans="1:9" x14ac:dyDescent="0.4">
      <c r="A3" s="1" t="s">
        <v>15</v>
      </c>
      <c r="B3" s="8">
        <v>1</v>
      </c>
      <c r="C3" s="8">
        <v>0.5</v>
      </c>
      <c r="D3" s="8">
        <v>0.25</v>
      </c>
    </row>
    <row r="5" spans="1:9" x14ac:dyDescent="0.4">
      <c r="A5" s="1" t="s">
        <v>22</v>
      </c>
      <c r="B5" s="1" t="s">
        <v>2</v>
      </c>
      <c r="C5" s="1" t="s">
        <v>3</v>
      </c>
      <c r="D5" s="1" t="s">
        <v>4</v>
      </c>
      <c r="E5" s="1" t="s">
        <v>2</v>
      </c>
      <c r="F5" s="1" t="s">
        <v>16</v>
      </c>
      <c r="G5" s="1" t="s">
        <v>17</v>
      </c>
      <c r="H5" s="9" t="s">
        <v>18</v>
      </c>
      <c r="I5" s="10" t="s">
        <v>15</v>
      </c>
    </row>
    <row r="6" spans="1:9" x14ac:dyDescent="0.4">
      <c r="A6" s="1">
        <v>0.1</v>
      </c>
      <c r="B6" s="1">
        <f>_xlfn.NORM.S.DIST(((A6)-'1_全損率'!$G$3)/'1_全損率'!$H$3, TRUE)</f>
        <v>4.6735075998573961E-2</v>
      </c>
      <c r="C6" s="1">
        <f>_xlfn.NORM.S.DIST(((A6)-'2_全半壊率'!$G$3)/'2_全半壊率'!$H$3, TRUE)</f>
        <v>5.7312676443212113E-2</v>
      </c>
      <c r="D6" s="1">
        <f>_xlfn.NORM.S.DIST(((A6)-'3_一部損壊以上率'!$G$3)/'3_一部損壊以上率'!$H$3, TRUE)</f>
        <v>0.14832830374558856</v>
      </c>
      <c r="E6" s="1">
        <f>B6</f>
        <v>4.6735075998573961E-2</v>
      </c>
      <c r="F6" s="1">
        <f>C6-B6</f>
        <v>1.0577600444638152E-2</v>
      </c>
      <c r="G6" s="1">
        <f t="shared" ref="G6:G69" si="0">D6-C6</f>
        <v>9.1015627302376445E-2</v>
      </c>
      <c r="H6" s="1">
        <f t="shared" ref="H6:H69" si="1">1-D6</f>
        <v>0.85167169625441141</v>
      </c>
      <c r="I6" s="1">
        <f>E6*$B$3+F6*$C$3+G6*$D$3+H6*0</f>
        <v>7.4777783046487148E-2</v>
      </c>
    </row>
    <row r="7" spans="1:9" x14ac:dyDescent="0.4">
      <c r="A7" s="1">
        <v>0.2</v>
      </c>
      <c r="B7" s="1">
        <f>_xlfn.NORM.S.DIST(((A7)-'1_全損率'!$G$3)/'1_全損率'!$H$3, TRUE)</f>
        <v>4.8222310927144213E-2</v>
      </c>
      <c r="C7" s="1">
        <f>_xlfn.NORM.S.DIST(((A7)-'2_全半壊率'!$G$3)/'2_全半壊率'!$H$3, TRUE)</f>
        <v>6.0273707282379664E-2</v>
      </c>
      <c r="D7" s="1">
        <f>_xlfn.NORM.S.DIST(((A7)-'3_一部損壊以上率'!$G$3)/'3_一部損壊以上率'!$H$3, TRUE)</f>
        <v>0.15453866058360935</v>
      </c>
      <c r="E7" s="1">
        <f t="shared" ref="E7:E70" si="2">B7</f>
        <v>4.8222310927144213E-2</v>
      </c>
      <c r="F7" s="1">
        <f t="shared" ref="F7:F70" si="3">C7-B7</f>
        <v>1.2051396355235451E-2</v>
      </c>
      <c r="G7" s="1">
        <f t="shared" si="0"/>
        <v>9.4264953301229693E-2</v>
      </c>
      <c r="H7" s="1">
        <f t="shared" si="1"/>
        <v>0.84546133941639068</v>
      </c>
      <c r="I7" s="1">
        <f t="shared" ref="I7:I70" si="4">E7*$B$3+F7*$C$3+G7*$D$3+H7*0</f>
        <v>7.7814247430069358E-2</v>
      </c>
    </row>
    <row r="8" spans="1:9" x14ac:dyDescent="0.4">
      <c r="A8" s="1">
        <v>0.3</v>
      </c>
      <c r="B8" s="1">
        <f>_xlfn.NORM.S.DIST(((A8)-'1_全損率'!$G$3)/'1_全損率'!$H$3, TRUE)</f>
        <v>4.9747171751446877E-2</v>
      </c>
      <c r="C8" s="1">
        <f>_xlfn.NORM.S.DIST(((A8)-'2_全半壊率'!$G$3)/'2_全半壊率'!$H$3, TRUE)</f>
        <v>6.33531573263693E-2</v>
      </c>
      <c r="D8" s="1">
        <f>_xlfn.NORM.S.DIST(((A8)-'3_一部損壊以上率'!$G$3)/'3_一部損壊以上率'!$H$3, TRUE)</f>
        <v>0.1609184877643185</v>
      </c>
      <c r="E8" s="1">
        <f t="shared" si="2"/>
        <v>4.9747171751446877E-2</v>
      </c>
      <c r="F8" s="1">
        <f t="shared" si="3"/>
        <v>1.3605985574922423E-2</v>
      </c>
      <c r="G8" s="1">
        <f t="shared" si="0"/>
        <v>9.7565330437949196E-2</v>
      </c>
      <c r="H8" s="1">
        <f t="shared" si="1"/>
        <v>0.8390815122356815</v>
      </c>
      <c r="I8" s="1">
        <f t="shared" si="4"/>
        <v>8.094149714839538E-2</v>
      </c>
    </row>
    <row r="9" spans="1:9" x14ac:dyDescent="0.4">
      <c r="A9" s="1">
        <v>0.4</v>
      </c>
      <c r="B9" s="1">
        <f>_xlfn.NORM.S.DIST(((A9)-'1_全損率'!$G$3)/'1_全損率'!$H$3, TRUE)</f>
        <v>5.1310257241944539E-2</v>
      </c>
      <c r="C9" s="1">
        <f>_xlfn.NORM.S.DIST(((A9)-'2_全半壊率'!$G$3)/'2_全半壊率'!$H$3, TRUE)</f>
        <v>6.6553719744191886E-2</v>
      </c>
      <c r="D9" s="1">
        <f>_xlfn.NORM.S.DIST(((A9)-'3_一部損壊以上率'!$G$3)/'3_一部損壊以上率'!$H$3, TRUE)</f>
        <v>0.16746781965176338</v>
      </c>
      <c r="E9" s="1">
        <f t="shared" si="2"/>
        <v>5.1310257241944539E-2</v>
      </c>
      <c r="F9" s="1">
        <f t="shared" si="3"/>
        <v>1.5243462502247347E-2</v>
      </c>
      <c r="G9" s="1">
        <f t="shared" si="0"/>
        <v>0.1009140999075715</v>
      </c>
      <c r="H9" s="1">
        <f t="shared" si="1"/>
        <v>0.83253218034823662</v>
      </c>
      <c r="I9" s="1">
        <f t="shared" si="4"/>
        <v>8.416051346996109E-2</v>
      </c>
    </row>
    <row r="10" spans="1:9" x14ac:dyDescent="0.4">
      <c r="A10" s="1">
        <v>0.5</v>
      </c>
      <c r="B10" s="1">
        <f>_xlfn.NORM.S.DIST(((A10)-'1_全損率'!$G$3)/'1_全損率'!$H$3, TRUE)</f>
        <v>5.2912163694736378E-2</v>
      </c>
      <c r="C10" s="1">
        <f>_xlfn.NORM.S.DIST(((A10)-'2_全半壊率'!$G$3)/'2_全半壊率'!$H$3, TRUE)</f>
        <v>6.9878036088698539E-2</v>
      </c>
      <c r="D10" s="1">
        <f>_xlfn.NORM.S.DIST(((A10)-'3_一部損壊以上率'!$G$3)/'3_一部損壊以上率'!$H$3, TRUE)</f>
        <v>0.1741864509352487</v>
      </c>
      <c r="E10" s="1">
        <f t="shared" si="2"/>
        <v>5.2912163694736378E-2</v>
      </c>
      <c r="F10" s="1">
        <f t="shared" si="3"/>
        <v>1.6965872393962161E-2</v>
      </c>
      <c r="G10" s="1">
        <f t="shared" si="0"/>
        <v>0.10430841484655017</v>
      </c>
      <c r="H10" s="1">
        <f t="shared" si="1"/>
        <v>0.82581354906475135</v>
      </c>
      <c r="I10" s="1">
        <f t="shared" si="4"/>
        <v>8.7472203603355003E-2</v>
      </c>
    </row>
    <row r="11" spans="1:9" x14ac:dyDescent="0.4">
      <c r="A11" s="1">
        <v>0.6</v>
      </c>
      <c r="B11" s="1">
        <f>_xlfn.NORM.S.DIST(((A11)-'1_全損率'!$G$3)/'1_全損率'!$H$3, TRUE)</f>
        <v>5.455348446075077E-2</v>
      </c>
      <c r="C11" s="1">
        <f>_xlfn.NORM.S.DIST(((A11)-'2_全半壊率'!$G$3)/'2_全半壊率'!$H$3, TRUE)</f>
        <v>7.3328689131768904E-2</v>
      </c>
      <c r="D11" s="1">
        <f>_xlfn.NORM.S.DIST(((A11)-'3_一部損壊以上率'!$G$3)/'3_一部損壊以上率'!$H$3, TRUE)</f>
        <v>0.18107393078572862</v>
      </c>
      <c r="E11" s="1">
        <f t="shared" si="2"/>
        <v>5.455348446075077E-2</v>
      </c>
      <c r="F11" s="1">
        <f t="shared" si="3"/>
        <v>1.8775204671018134E-2</v>
      </c>
      <c r="G11" s="1">
        <f t="shared" si="0"/>
        <v>0.10774524165395971</v>
      </c>
      <c r="H11" s="1">
        <f t="shared" si="1"/>
        <v>0.81892606921427136</v>
      </c>
      <c r="I11" s="1">
        <f t="shared" si="4"/>
        <v>9.0877397209749772E-2</v>
      </c>
    </row>
    <row r="12" spans="1:9" x14ac:dyDescent="0.4">
      <c r="A12" s="1">
        <v>0.7</v>
      </c>
      <c r="B12" s="1">
        <f>_xlfn.NORM.S.DIST(((A12)-'1_全損率'!$G$3)/'1_全損率'!$H$3, TRUE)</f>
        <v>5.6234809465939679E-2</v>
      </c>
      <c r="C12" s="1">
        <f>_xlfn.NORM.S.DIST(((A12)-'2_全半壊率'!$G$3)/'2_全半壊率'!$H$3, TRUE)</f>
        <v>7.690819557534781E-2</v>
      </c>
      <c r="D12" s="1">
        <f>_xlfn.NORM.S.DIST(((A12)-'3_一部損壊以上率'!$G$3)/'3_一部損壊以上率'!$H$3, TRUE)</f>
        <v>0.1881295575577259</v>
      </c>
      <c r="E12" s="1">
        <f t="shared" si="2"/>
        <v>5.6234809465939679E-2</v>
      </c>
      <c r="F12" s="1">
        <f t="shared" si="3"/>
        <v>2.067338610940813E-2</v>
      </c>
      <c r="G12" s="1">
        <f t="shared" si="0"/>
        <v>0.11122136198237809</v>
      </c>
      <c r="H12" s="1">
        <f t="shared" si="1"/>
        <v>0.81187044244227413</v>
      </c>
      <c r="I12" s="1">
        <f t="shared" si="4"/>
        <v>9.4376843016238263E-2</v>
      </c>
    </row>
    <row r="13" spans="1:9" x14ac:dyDescent="0.4">
      <c r="A13" s="1">
        <v>0.8</v>
      </c>
      <c r="B13" s="1">
        <f>_xlfn.NORM.S.DIST(((A13)-'1_全損率'!$G$3)/'1_全損率'!$H$3, TRUE)</f>
        <v>5.7956724722801285E-2</v>
      </c>
      <c r="C13" s="1">
        <f>_xlfn.NORM.S.DIST(((A13)-'2_全半壊率'!$G$3)/'2_全半壊率'!$H$3, TRUE)</f>
        <v>8.0618998657253874E-2</v>
      </c>
      <c r="D13" s="1">
        <f>_xlfn.NORM.S.DIST(((A13)-'3_一部損壊以上率'!$G$3)/'3_一部損壊以上率'!$H$3, TRUE)</f>
        <v>0.19535237406946254</v>
      </c>
      <c r="E13" s="1">
        <f t="shared" si="2"/>
        <v>5.7956724722801285E-2</v>
      </c>
      <c r="F13" s="1">
        <f t="shared" si="3"/>
        <v>2.2662273934452588E-2</v>
      </c>
      <c r="G13" s="1">
        <f t="shared" si="0"/>
        <v>0.11473337541220867</v>
      </c>
      <c r="H13" s="1">
        <f t="shared" si="1"/>
        <v>0.80464762593053751</v>
      </c>
      <c r="I13" s="1">
        <f t="shared" si="4"/>
        <v>9.7971205543079753E-2</v>
      </c>
    </row>
    <row r="14" spans="1:9" x14ac:dyDescent="0.4">
      <c r="A14" s="1">
        <v>0.9</v>
      </c>
      <c r="B14" s="1">
        <f>_xlfn.NORM.S.DIST(((A14)-'1_全損率'!$G$3)/'1_全損率'!$H$3, TRUE)</f>
        <v>5.9719811833575359E-2</v>
      </c>
      <c r="C14" s="1">
        <f>_xlfn.NORM.S.DIST(((A14)-'2_全半壊率'!$G$3)/'2_全半壊率'!$H$3, TRUE)</f>
        <v>8.4463460671814386E-2</v>
      </c>
      <c r="D14" s="1">
        <f>_xlfn.NORM.S.DIST(((A14)-'3_一部損壊以上率'!$G$3)/'3_一部損壊以上率'!$H$3, TRUE)</f>
        <v>0.20274116349224849</v>
      </c>
      <c r="E14" s="1">
        <f t="shared" si="2"/>
        <v>5.9719811833575359E-2</v>
      </c>
      <c r="F14" s="1">
        <f t="shared" si="3"/>
        <v>2.4743648838239027E-2</v>
      </c>
      <c r="G14" s="1">
        <f t="shared" si="0"/>
        <v>0.11827770282043411</v>
      </c>
      <c r="H14" s="1">
        <f t="shared" si="1"/>
        <v>0.79725883650775153</v>
      </c>
      <c r="I14" s="1">
        <f t="shared" si="4"/>
        <v>0.1016610619578034</v>
      </c>
    </row>
    <row r="15" spans="1:9" x14ac:dyDescent="0.4">
      <c r="A15" s="1">
        <v>1</v>
      </c>
      <c r="B15" s="1">
        <f>_xlfn.NORM.S.DIST(((A15)-'1_全損率'!$G$3)/'1_全損率'!$H$3, TRUE)</f>
        <v>6.1524647485478361E-2</v>
      </c>
      <c r="C15" s="1">
        <f>_xlfn.NORM.S.DIST(((A15)-'2_全半壊率'!$G$3)/'2_全半壊率'!$H$3, TRUE)</f>
        <v>8.8443855426457219E-2</v>
      </c>
      <c r="D15" s="1">
        <f>_xlfn.NORM.S.DIST(((A15)-'3_一部損壊以上率'!$G$3)/'3_一部損壊以上率'!$H$3, TRUE)</f>
        <v>0.21029444587834267</v>
      </c>
      <c r="E15" s="1">
        <f t="shared" si="2"/>
        <v>6.1524647485478361E-2</v>
      </c>
      <c r="F15" s="1">
        <f t="shared" si="3"/>
        <v>2.6919207940978858E-2</v>
      </c>
      <c r="G15" s="1">
        <f t="shared" si="0"/>
        <v>0.12185059045188545</v>
      </c>
      <c r="H15" s="1">
        <f t="shared" si="1"/>
        <v>0.78970555412165733</v>
      </c>
      <c r="I15" s="1">
        <f t="shared" si="4"/>
        <v>0.10544689906893916</v>
      </c>
    </row>
    <row r="16" spans="1:9" x14ac:dyDescent="0.4">
      <c r="A16" s="1">
        <v>1.1000000000000001</v>
      </c>
      <c r="B16" s="1">
        <f>_xlfn.NORM.S.DIST(((A16)-'1_全損率'!$G$3)/'1_全損率'!$H$3, TRUE)</f>
        <v>6.3371802938364141E-2</v>
      </c>
      <c r="C16" s="1">
        <f>_xlfn.NORM.S.DIST(((A16)-'2_全半壊率'!$G$3)/'2_全半壊率'!$H$3, TRUE)</f>
        <v>9.2562360656421136E-2</v>
      </c>
      <c r="D16" s="1">
        <f>_xlfn.NORM.S.DIST(((A16)-'3_一部損壊以上率'!$G$3)/'3_一部損壊以上率'!$H$3, TRUE)</f>
        <v>0.21801047535447879</v>
      </c>
      <c r="E16" s="1">
        <f t="shared" si="2"/>
        <v>6.3371802938364141E-2</v>
      </c>
      <c r="F16" s="1">
        <f t="shared" si="3"/>
        <v>2.9190557718056995E-2</v>
      </c>
      <c r="G16" s="1">
        <f t="shared" si="0"/>
        <v>0.12544811469805767</v>
      </c>
      <c r="H16" s="1">
        <f t="shared" si="1"/>
        <v>0.78198952464552118</v>
      </c>
      <c r="I16" s="1">
        <f t="shared" si="4"/>
        <v>0.10932911047190706</v>
      </c>
    </row>
    <row r="17" spans="1:9" x14ac:dyDescent="0.4">
      <c r="A17" s="1">
        <v>1.2</v>
      </c>
      <c r="B17" s="1">
        <f>_xlfn.NORM.S.DIST(((A17)-'1_全損率'!$G$3)/'1_全損率'!$H$3, TRUE)</f>
        <v>6.526184350521369E-2</v>
      </c>
      <c r="C17" s="1">
        <f>_xlfn.NORM.S.DIST(((A17)-'2_全半壊率'!$G$3)/'2_全半壊率'!$H$3, TRUE)</f>
        <v>9.6821050420700133E-2</v>
      </c>
      <c r="D17" s="1">
        <f>_xlfn.NORM.S.DIST(((A17)-'3_一部損壊以上率'!$G$3)/'3_一部損壊以上率'!$H$3, TRUE)</f>
        <v>0.2258872380060454</v>
      </c>
      <c r="E17" s="1">
        <f t="shared" si="2"/>
        <v>6.526184350521369E-2</v>
      </c>
      <c r="F17" s="1">
        <f t="shared" si="3"/>
        <v>3.1559206915486443E-2</v>
      </c>
      <c r="G17" s="1">
        <f t="shared" si="0"/>
        <v>0.12906618758534527</v>
      </c>
      <c r="H17" s="1">
        <f t="shared" si="1"/>
        <v>0.77411276199395462</v>
      </c>
      <c r="I17" s="1">
        <f t="shared" si="4"/>
        <v>0.11330799385929323</v>
      </c>
    </row>
    <row r="18" spans="1:9" x14ac:dyDescent="0.4">
      <c r="A18" s="1">
        <v>1.3</v>
      </c>
      <c r="B18" s="1">
        <f>_xlfn.NORM.S.DIST(((A18)-'1_全損率'!$G$3)/'1_全損率'!$H$3, TRUE)</f>
        <v>6.7195328025880574E-2</v>
      </c>
      <c r="C18" s="1">
        <f>_xlfn.NORM.S.DIST(((A18)-'2_全半壊率'!$G$3)/'2_全半壊率'!$H$3, TRUE)</f>
        <v>0.10122188750323267</v>
      </c>
      <c r="D18" s="1">
        <f>_xlfn.NORM.S.DIST(((A18)-'3_一部損壊以上率'!$G$3)/'3_一部損壊以上率'!$H$3, TRUE)</f>
        <v>0.23392245047453158</v>
      </c>
      <c r="E18" s="1">
        <f t="shared" si="2"/>
        <v>6.7195328025880574E-2</v>
      </c>
      <c r="F18" s="1">
        <f t="shared" si="3"/>
        <v>3.40265594773521E-2</v>
      </c>
      <c r="G18" s="1">
        <f t="shared" si="0"/>
        <v>0.1327005629712989</v>
      </c>
      <c r="H18" s="1">
        <f t="shared" si="1"/>
        <v>0.76607754952546836</v>
      </c>
      <c r="I18" s="1">
        <f t="shared" si="4"/>
        <v>0.11738374850738136</v>
      </c>
    </row>
    <row r="19" spans="1:9" x14ac:dyDescent="0.4">
      <c r="A19" s="1">
        <v>1.4</v>
      </c>
      <c r="B19" s="1">
        <f>_xlfn.NORM.S.DIST(((A19)-'1_全損率'!$G$3)/'1_全損率'!$H$3, TRUE)</f>
        <v>6.9172808334534916E-2</v>
      </c>
      <c r="C19" s="1">
        <f>_xlfn.NORM.S.DIST(((A19)-'2_全半壊率'!$G$3)/'2_全半壊率'!$H$3, TRUE)</f>
        <v>0.10576671584415652</v>
      </c>
      <c r="D19" s="1">
        <f>_xlfn.NORM.S.DIST(((A19)-'3_一部損壊以上率'!$G$3)/'3_一部損壊以上率'!$H$3, TRUE)</f>
        <v>0.24211355928830969</v>
      </c>
      <c r="E19" s="1">
        <f t="shared" si="2"/>
        <v>6.9172808334534916E-2</v>
      </c>
      <c r="F19" s="1">
        <f t="shared" si="3"/>
        <v>3.6593907509621604E-2</v>
      </c>
      <c r="G19" s="1">
        <f t="shared" si="0"/>
        <v>0.13634684344415315</v>
      </c>
      <c r="H19" s="1">
        <f t="shared" si="1"/>
        <v>0.75788644071169031</v>
      </c>
      <c r="I19" s="1">
        <f t="shared" si="4"/>
        <v>0.12155647295038401</v>
      </c>
    </row>
    <row r="20" spans="1:9" x14ac:dyDescent="0.4">
      <c r="A20" s="1">
        <v>1.5</v>
      </c>
      <c r="B20" s="1">
        <f>_xlfn.NORM.S.DIST(((A20)-'1_全損率'!$G$3)/'1_全損率'!$H$3, TRUE)</f>
        <v>7.11948287212682E-2</v>
      </c>
      <c r="C20" s="1">
        <f>_xlfn.NORM.S.DIST(((A20)-'2_全半壊率'!$G$3)/'2_全半壊率'!$H$3, TRUE)</f>
        <v>0.11045725302667826</v>
      </c>
      <c r="D20" s="1">
        <f>_xlfn.NORM.S.DIST(((A20)-'3_一部損壊以上率'!$G$3)/'3_一部損壊以上率'!$H$3, TRUE)</f>
        <v>0.25045774094412981</v>
      </c>
      <c r="E20" s="1">
        <f t="shared" si="2"/>
        <v>7.11948287212682E-2</v>
      </c>
      <c r="F20" s="1">
        <f t="shared" si="3"/>
        <v>3.9262424305410062E-2</v>
      </c>
      <c r="G20" s="1">
        <f t="shared" si="0"/>
        <v>0.14000048791745157</v>
      </c>
      <c r="H20" s="1">
        <f t="shared" si="1"/>
        <v>0.74954225905587024</v>
      </c>
      <c r="I20" s="1">
        <f t="shared" si="4"/>
        <v>0.12582616285333612</v>
      </c>
    </row>
    <row r="21" spans="1:9" x14ac:dyDescent="0.4">
      <c r="A21" s="1">
        <v>1.6</v>
      </c>
      <c r="B21" s="1">
        <f>_xlfn.NORM.S.DIST(((A21)-'1_全損率'!$G$3)/'1_全損率'!$H$3, TRUE)</f>
        <v>7.3261925388341698E-2</v>
      </c>
      <c r="C21" s="1">
        <f>_xlfn.NORM.S.DIST(((A21)-'2_全半壊率'!$G$3)/'2_全半壊率'!$H$3, TRUE)</f>
        <v>0.11529508284574236</v>
      </c>
      <c r="D21" s="1">
        <f>_xlfn.NORM.S.DIST(((A21)-'3_一部損壊以上率'!$G$3)/'3_一部損壊以上率'!$H$3, TRUE)</f>
        <v>0.25895190275386926</v>
      </c>
      <c r="E21" s="1">
        <f t="shared" si="2"/>
        <v>7.3261925388341698E-2</v>
      </c>
      <c r="F21" s="1">
        <f t="shared" si="3"/>
        <v>4.2033157457400661E-2</v>
      </c>
      <c r="G21" s="1">
        <f t="shared" si="0"/>
        <v>0.1436568199081269</v>
      </c>
      <c r="H21" s="1">
        <f t="shared" si="1"/>
        <v>0.74104809724613074</v>
      </c>
      <c r="I21" s="1">
        <f t="shared" si="4"/>
        <v>0.13019270909407377</v>
      </c>
    </row>
    <row r="22" spans="1:9" x14ac:dyDescent="0.4">
      <c r="A22" s="1">
        <v>1.7</v>
      </c>
      <c r="B22" s="1">
        <f>_xlfn.NORM.S.DIST(((A22)-'1_全損率'!$G$3)/'1_全損率'!$H$3, TRUE)</f>
        <v>7.5374625901576175E-2</v>
      </c>
      <c r="C22" s="1">
        <f>_xlfn.NORM.S.DIST(((A22)-'2_全半壊率'!$G$3)/'2_全半壊率'!$H$3, TRUE)</f>
        <v>0.12028164798522423</v>
      </c>
      <c r="D22" s="1">
        <f>_xlfn.NORM.S.DIST(((A22)-'3_一部損壊以上率'!$G$3)/'3_一部損壊以上率'!$H$3, TRUE)</f>
        <v>0.26759268446811213</v>
      </c>
      <c r="E22" s="1">
        <f t="shared" si="2"/>
        <v>7.5374625901576175E-2</v>
      </c>
      <c r="F22" s="1">
        <f t="shared" si="3"/>
        <v>4.4907022083648052E-2</v>
      </c>
      <c r="G22" s="1">
        <f t="shared" si="0"/>
        <v>0.1473110364828879</v>
      </c>
      <c r="H22" s="1">
        <f t="shared" si="1"/>
        <v>0.73240731553188787</v>
      </c>
      <c r="I22" s="1">
        <f t="shared" si="4"/>
        <v>0.13465589606412218</v>
      </c>
    </row>
    <row r="23" spans="1:9" x14ac:dyDescent="0.4">
      <c r="A23" s="1">
        <v>1.8</v>
      </c>
      <c r="B23" s="1">
        <f>_xlfn.NORM.S.DIST(((A23)-'1_全損率'!$G$3)/'1_全損率'!$H$3, TRUE)</f>
        <v>7.7533448637403038E-2</v>
      </c>
      <c r="C23" s="1">
        <f>_xlfn.NORM.S.DIST(((A23)-'2_全半壊率'!$G$3)/'2_全半壊率'!$H$3, TRUE)</f>
        <v>0.1254182428308051</v>
      </c>
      <c r="D23" s="1">
        <f>_xlfn.NORM.S.DIST(((A23)-'3_一部損壊以上率'!$G$3)/'3_一部損壊以上率'!$H$3, TRUE)</f>
        <v>0.2763764606850595</v>
      </c>
      <c r="E23" s="1">
        <f t="shared" si="2"/>
        <v>7.7533448637403038E-2</v>
      </c>
      <c r="F23" s="1">
        <f t="shared" si="3"/>
        <v>4.7884794193402067E-2</v>
      </c>
      <c r="G23" s="1">
        <f t="shared" si="0"/>
        <v>0.1509582178542544</v>
      </c>
      <c r="H23" s="1">
        <f t="shared" si="1"/>
        <v>0.7236235393149405</v>
      </c>
      <c r="I23" s="1">
        <f t="shared" si="4"/>
        <v>0.13921540019766765</v>
      </c>
    </row>
    <row r="24" spans="1:9" x14ac:dyDescent="0.4">
      <c r="A24" s="1">
        <v>1.9</v>
      </c>
      <c r="B24" s="1">
        <f>_xlfn.NORM.S.DIST(((A24)-'1_全損率'!$G$3)/'1_全損率'!$H$3, TRUE)</f>
        <v>7.9738902226109132E-2</v>
      </c>
      <c r="C24" s="1">
        <f>_xlfn.NORM.S.DIST(((A24)-'2_全半壊率'!$G$3)/'2_全半壊率'!$H$3, TRUE)</f>
        <v>0.13070600644601219</v>
      </c>
      <c r="D24" s="1">
        <f>_xlfn.NORM.S.DIST(((A24)-'3_一部損壊以上率'!$G$3)/'3_一部損壊以上率'!$H$3, TRUE)</f>
        <v>0.28529934405009472</v>
      </c>
      <c r="E24" s="1">
        <f t="shared" si="2"/>
        <v>7.9738902226109132E-2</v>
      </c>
      <c r="F24" s="1">
        <f t="shared" si="3"/>
        <v>5.0967104219903053E-2</v>
      </c>
      <c r="G24" s="1">
        <f t="shared" si="0"/>
        <v>0.15459333760408253</v>
      </c>
      <c r="H24" s="1">
        <f t="shared" si="1"/>
        <v>0.71470065594990528</v>
      </c>
      <c r="I24" s="1">
        <f t="shared" si="4"/>
        <v>0.14387078873708128</v>
      </c>
    </row>
    <row r="25" spans="1:9" x14ac:dyDescent="0.4">
      <c r="A25" s="1">
        <v>2</v>
      </c>
      <c r="B25" s="1">
        <f>_xlfn.NORM.S.DIST(((A25)-'1_全損率'!$G$3)/'1_全損率'!$H$3, TRUE)</f>
        <v>8.1991484991830121E-2</v>
      </c>
      <c r="C25" s="1">
        <f>_xlfn.NORM.S.DIST(((A25)-'2_全半壊率'!$G$3)/'2_全半壊率'!$H$3, TRUE)</f>
        <v>0.13614591573911972</v>
      </c>
      <c r="D25" s="1">
        <f>_xlfn.NORM.S.DIST(((A25)-'3_一部損壊以上率'!$G$3)/'3_一部損壊以上率'!$H$3, TRUE)</f>
        <v>0.29435718924807103</v>
      </c>
      <c r="E25" s="1">
        <f t="shared" si="2"/>
        <v>8.1991484991830121E-2</v>
      </c>
      <c r="F25" s="1">
        <f t="shared" si="3"/>
        <v>5.4154430747289595E-2</v>
      </c>
      <c r="G25" s="1">
        <f t="shared" si="0"/>
        <v>0.15821127350895131</v>
      </c>
      <c r="H25" s="1">
        <f t="shared" si="1"/>
        <v>0.70564281075192903</v>
      </c>
      <c r="I25" s="1">
        <f t="shared" si="4"/>
        <v>0.14862151874271273</v>
      </c>
    </row>
    <row r="26" spans="1:9" x14ac:dyDescent="0.4">
      <c r="A26" s="1">
        <v>2.1</v>
      </c>
      <c r="B26" s="1">
        <f>_xlfn.NORM.S.DIST(((A26)-'1_全損率'!$G$3)/'1_全損率'!$H$3, TRUE)</f>
        <v>8.4291684389858637E-2</v>
      </c>
      <c r="C26" s="1">
        <f>_xlfn.NORM.S.DIST(((A26)-'2_全半壊率'!$G$3)/'2_全半壊率'!$H$3, TRUE)</f>
        <v>0.14173877884869646</v>
      </c>
      <c r="D26" s="1">
        <f>_xlfn.NORM.S.DIST(((A26)-'3_一部損壊以上率'!$G$3)/'3_一部損壊以上率'!$H$3, TRUE)</f>
        <v>0.30354559778706247</v>
      </c>
      <c r="E26" s="1">
        <f t="shared" si="2"/>
        <v>8.4291684389858637E-2</v>
      </c>
      <c r="F26" s="1">
        <f t="shared" si="3"/>
        <v>5.7447094458837819E-2</v>
      </c>
      <c r="G26" s="1">
        <f t="shared" si="0"/>
        <v>0.16180681893836601</v>
      </c>
      <c r="H26" s="1">
        <f t="shared" si="1"/>
        <v>0.69645440221293753</v>
      </c>
      <c r="I26" s="1">
        <f t="shared" si="4"/>
        <v>0.15346693635386904</v>
      </c>
    </row>
    <row r="27" spans="1:9" x14ac:dyDescent="0.4">
      <c r="A27" s="1">
        <v>2.2000000000000002</v>
      </c>
      <c r="B27" s="1">
        <f>_xlfn.NORM.S.DIST(((A27)-'1_全損率'!$G$3)/'1_全損率'!$H$3, TRUE)</f>
        <v>8.6639976441853186E-2</v>
      </c>
      <c r="C27" s="1">
        <f>_xlfn.NORM.S.DIST(((A27)-'2_全半壊率'!$G$3)/'2_全半壊率'!$H$3, TRUE)</f>
        <v>0.147485228775556</v>
      </c>
      <c r="D27" s="1">
        <f>_xlfn.NORM.S.DIST(((A27)-'3_一部損壊以上率'!$G$3)/'3_一部損壊以上率'!$H$3, TRUE)</f>
        <v>0.31285992356895426</v>
      </c>
      <c r="E27" s="1">
        <f t="shared" si="2"/>
        <v>8.6639976441853186E-2</v>
      </c>
      <c r="F27" s="1">
        <f t="shared" si="3"/>
        <v>6.0845252333702818E-2</v>
      </c>
      <c r="G27" s="1">
        <f t="shared" si="0"/>
        <v>0.16537469479339825</v>
      </c>
      <c r="H27" s="1">
        <f t="shared" si="1"/>
        <v>0.6871400764310458</v>
      </c>
      <c r="I27" s="1">
        <f t="shared" si="4"/>
        <v>0.15840627630705417</v>
      </c>
    </row>
    <row r="28" spans="1:9" x14ac:dyDescent="0.4">
      <c r="A28" s="1">
        <v>2.2999999999999998</v>
      </c>
      <c r="B28" s="1">
        <f>_xlfn.NORM.S.DIST(((A28)-'1_全損率'!$G$3)/'1_全損率'!$H$3, TRUE)</f>
        <v>8.9036825169547723E-2</v>
      </c>
      <c r="C28" s="1">
        <f>_xlfn.NORM.S.DIST(((A28)-'2_全半壊率'!$G$3)/'2_全半壊率'!$H$3, TRUE)</f>
        <v>0.15338571728870715</v>
      </c>
      <c r="D28" s="1">
        <f>_xlfn.NORM.S.DIST(((A28)-'3_一部損壊以上率'!$G$3)/'3_一部損壊以上率'!$H$3, TRUE)</f>
        <v>0.32229527923884183</v>
      </c>
      <c r="E28" s="1">
        <f t="shared" si="2"/>
        <v>8.9036825169547723E-2</v>
      </c>
      <c r="F28" s="1">
        <f t="shared" si="3"/>
        <v>6.4348892119159423E-2</v>
      </c>
      <c r="G28" s="1">
        <f t="shared" si="0"/>
        <v>0.16890956195013468</v>
      </c>
      <c r="H28" s="1">
        <f t="shared" si="1"/>
        <v>0.67770472076115817</v>
      </c>
      <c r="I28" s="1">
        <f t="shared" si="4"/>
        <v>0.1634386617166611</v>
      </c>
    </row>
    <row r="29" spans="1:9" x14ac:dyDescent="0.4">
      <c r="A29" s="1">
        <v>2.4</v>
      </c>
      <c r="B29" s="1">
        <f>_xlfn.NORM.S.DIST(((A29)-'1_全損率'!$G$3)/'1_全損率'!$H$3, TRUE)</f>
        <v>9.1482682027574994E-2</v>
      </c>
      <c r="C29" s="1">
        <f>_xlfn.NORM.S.DIST(((A29)-'2_全半壊率'!$G$3)/'2_全半壊率'!$H$3, TRUE)</f>
        <v>0.15944050913261432</v>
      </c>
      <c r="D29" s="1">
        <f>_xlfn.NORM.S.DIST(((A29)-'3_一部損壊以上率'!$G$3)/'3_一部損壊以上率'!$H$3, TRUE)</f>
        <v>0.33184654330180252</v>
      </c>
      <c r="E29" s="1">
        <f t="shared" si="2"/>
        <v>9.1482682027574994E-2</v>
      </c>
      <c r="F29" s="1">
        <f t="shared" si="3"/>
        <v>6.7957827105039323E-2</v>
      </c>
      <c r="G29" s="1">
        <f t="shared" si="0"/>
        <v>0.1724060341691882</v>
      </c>
      <c r="H29" s="1">
        <f t="shared" si="1"/>
        <v>0.66815345669819748</v>
      </c>
      <c r="I29" s="1">
        <f t="shared" si="4"/>
        <v>0.1685631041223917</v>
      </c>
    </row>
    <row r="30" spans="1:9" x14ac:dyDescent="0.4">
      <c r="A30" s="1">
        <v>2.5</v>
      </c>
      <c r="B30" s="1">
        <f>_xlfn.NORM.S.DIST(((A30)-'1_全損率'!$G$3)/'1_全損率'!$H$3, TRUE)</f>
        <v>9.3977985336035255E-2</v>
      </c>
      <c r="C30" s="1">
        <f>_xlfn.NORM.S.DIST(((A30)-'2_全半壊率'!$G$3)/'2_全半壊率'!$H$3, TRUE)</f>
        <v>0.165649676562661</v>
      </c>
      <c r="D30" s="1">
        <f>_xlfn.NORM.S.DIST(((A30)-'3_一部損壊以上率'!$G$3)/'3_一部損壊以上率'!$H$3, TRUE)</f>
        <v>0.34150836799219947</v>
      </c>
      <c r="E30" s="1">
        <f t="shared" si="2"/>
        <v>9.3977985336035255E-2</v>
      </c>
      <c r="F30" s="1">
        <f t="shared" si="3"/>
        <v>7.1671691226625742E-2</v>
      </c>
      <c r="G30" s="1">
        <f t="shared" si="0"/>
        <v>0.17585869142953847</v>
      </c>
      <c r="H30" s="1">
        <f t="shared" si="1"/>
        <v>0.65849163200780048</v>
      </c>
      <c r="I30" s="1">
        <f t="shared" si="4"/>
        <v>0.17377850380673274</v>
      </c>
    </row>
    <row r="31" spans="1:9" x14ac:dyDescent="0.4">
      <c r="A31" s="1">
        <v>2.6</v>
      </c>
      <c r="B31" s="1">
        <f>_xlfn.NORM.S.DIST(((A31)-'1_全損率'!$G$3)/'1_全損率'!$H$3, TRUE)</f>
        <v>9.6523159713449075E-2</v>
      </c>
      <c r="C31" s="1">
        <f>_xlfn.NORM.S.DIST(((A31)-'2_全半壊率'!$G$3)/'2_全半壊率'!$H$3, TRUE)</f>
        <v>0.17201309423515476</v>
      </c>
      <c r="D31" s="1">
        <f>_xlfn.NORM.S.DIST(((A31)-'3_一部損壊以上率'!$G$3)/'3_一部損壊以上率'!$H$3, TRUE)</f>
        <v>0.35127518787730261</v>
      </c>
      <c r="E31" s="1">
        <f t="shared" si="2"/>
        <v>9.6523159713449075E-2</v>
      </c>
      <c r="F31" s="1">
        <f t="shared" si="3"/>
        <v>7.5489934521705687E-2</v>
      </c>
      <c r="G31" s="1">
        <f t="shared" si="0"/>
        <v>0.17926209364214785</v>
      </c>
      <c r="H31" s="1">
        <f t="shared" si="1"/>
        <v>0.64872481212269739</v>
      </c>
      <c r="I31" s="1">
        <f t="shared" si="4"/>
        <v>0.17908365038483887</v>
      </c>
    </row>
    <row r="32" spans="1:9" x14ac:dyDescent="0.4">
      <c r="A32" s="1">
        <v>2.7</v>
      </c>
      <c r="B32" s="1">
        <f>_xlfn.NORM.S.DIST(((A32)-'1_全損率'!$G$3)/'1_全損率'!$H$3, TRUE)</f>
        <v>9.9118615510751684E-2</v>
      </c>
      <c r="C32" s="1">
        <f>_xlfn.NORM.S.DIST(((A32)-'2_全半壊率'!$G$3)/'2_全半壊率'!$H$3, TRUE)</f>
        <v>0.17853043447753011</v>
      </c>
      <c r="D32" s="1">
        <f>_xlfn.NORM.S.DIST(((A32)-'3_一部損壊以上率'!$G$3)/'3_一部損壊以上率'!$H$3, TRUE)</f>
        <v>0.36114122917368641</v>
      </c>
      <c r="E32" s="1">
        <f t="shared" si="2"/>
        <v>9.9118615510751684E-2</v>
      </c>
      <c r="F32" s="1">
        <f t="shared" si="3"/>
        <v>7.941181896677843E-2</v>
      </c>
      <c r="G32" s="1">
        <f t="shared" si="0"/>
        <v>0.18261079469615629</v>
      </c>
      <c r="H32" s="1">
        <f t="shared" si="1"/>
        <v>0.63885877082631359</v>
      </c>
      <c r="I32" s="1">
        <f t="shared" si="4"/>
        <v>0.18447722366817995</v>
      </c>
    </row>
    <row r="33" spans="1:9" x14ac:dyDescent="0.4">
      <c r="A33" s="1">
        <v>2.8</v>
      </c>
      <c r="B33" s="1">
        <f>_xlfn.NORM.S.DIST(((A33)-'1_全損率'!$G$3)/'1_全損率'!$H$3, TRUE)</f>
        <v>0.10176474824699328</v>
      </c>
      <c r="C33" s="1">
        <f>_xlfn.NORM.S.DIST(((A33)-'2_全半壊率'!$G$3)/'2_全半壊率'!$H$3, TRUE)</f>
        <v>0.18520116296358405</v>
      </c>
      <c r="D33" s="1">
        <f>_xlfn.NORM.S.DIST(((A33)-'3_一部損壊以上率'!$G$3)/'3_一部損壊以上率'!$H$3, TRUE)</f>
        <v>0.37110051975160119</v>
      </c>
      <c r="E33" s="1">
        <f t="shared" si="2"/>
        <v>0.10176474824699328</v>
      </c>
      <c r="F33" s="1">
        <f t="shared" si="3"/>
        <v>8.3436414716590773E-2</v>
      </c>
      <c r="G33" s="1">
        <f t="shared" si="0"/>
        <v>0.18589935678801714</v>
      </c>
      <c r="H33" s="1">
        <f t="shared" si="1"/>
        <v>0.62889948024839881</v>
      </c>
      <c r="I33" s="1">
        <f t="shared" si="4"/>
        <v>0.18995779480229297</v>
      </c>
    </row>
    <row r="34" spans="1:9" x14ac:dyDescent="0.4">
      <c r="A34" s="1">
        <v>2.9</v>
      </c>
      <c r="B34" s="1">
        <f>_xlfn.NORM.S.DIST(((A34)-'1_全損率'!$G$3)/'1_全損率'!$H$3, TRUE)</f>
        <v>0.1044619380474245</v>
      </c>
      <c r="C34" s="1">
        <f>_xlfn.NORM.S.DIST(((A34)-'2_全半壊率'!$G$3)/'2_全半壊率'!$H$3, TRUE)</f>
        <v>0.19202453481762846</v>
      </c>
      <c r="D34" s="1">
        <f>_xlfn.NORM.S.DIST(((A34)-'3_一部損壊以上率'!$G$3)/'3_一部損壊以上率'!$H$3, TRUE)</f>
        <v>0.38114689979934258</v>
      </c>
      <c r="E34" s="1">
        <f t="shared" si="2"/>
        <v>0.1044619380474245</v>
      </c>
      <c r="F34" s="1">
        <f t="shared" si="3"/>
        <v>8.7562596770203963E-2</v>
      </c>
      <c r="G34" s="1">
        <f t="shared" si="0"/>
        <v>0.18912236498171411</v>
      </c>
      <c r="H34" s="1">
        <f t="shared" si="1"/>
        <v>0.61885310020065742</v>
      </c>
      <c r="I34" s="1">
        <f t="shared" si="4"/>
        <v>0.19552382767795501</v>
      </c>
    </row>
    <row r="35" spans="1:9" x14ac:dyDescent="0.4">
      <c r="A35" s="1">
        <v>3</v>
      </c>
      <c r="B35" s="1">
        <f>_xlfn.NORM.S.DIST(((A35)-'1_全損率'!$G$3)/'1_全損率'!$H$3, TRUE)</f>
        <v>0.10721054908465318</v>
      </c>
      <c r="C35" s="1">
        <f>_xlfn.NORM.S.DIST(((A35)-'2_全半壊率'!$G$3)/'2_全半壊率'!$H$3, TRUE)</f>
        <v>0.19899959117035912</v>
      </c>
      <c r="D35" s="1">
        <f>_xlfn.NORM.S.DIST(((A35)-'3_一部損壊以上率'!$G$3)/'3_一部損壊以上率'!$H$3, TRUE)</f>
        <v>0.39127403311656878</v>
      </c>
      <c r="E35" s="1">
        <f t="shared" si="2"/>
        <v>0.10721054908465318</v>
      </c>
      <c r="F35" s="1">
        <f t="shared" si="3"/>
        <v>9.1789042085705944E-2</v>
      </c>
      <c r="G35" s="1">
        <f t="shared" si="0"/>
        <v>0.19227444194620966</v>
      </c>
      <c r="H35" s="1">
        <f t="shared" si="1"/>
        <v>0.60872596688343128</v>
      </c>
      <c r="I35" s="1">
        <f t="shared" si="4"/>
        <v>0.20117368061405858</v>
      </c>
    </row>
    <row r="36" spans="1:9" x14ac:dyDescent="0.4">
      <c r="A36" s="1">
        <v>3.1</v>
      </c>
      <c r="B36" s="1">
        <f>_xlfn.NORM.S.DIST(((A36)-'1_全損率'!$G$3)/'1_全損率'!$H$3, TRUE)</f>
        <v>0.11001092902357021</v>
      </c>
      <c r="C36" s="1">
        <f>_xlfn.NORM.S.DIST(((A36)-'2_全半壊率'!$G$3)/'2_全半壊率'!$H$3, TRUE)</f>
        <v>0.20612515618803273</v>
      </c>
      <c r="D36" s="1">
        <f>_xlfn.NORM.S.DIST(((A36)-'3_一部損壊以上率'!$G$3)/'3_一部損壊以上率'!$H$3, TRUE)</f>
        <v>0.40147541900257366</v>
      </c>
      <c r="E36" s="1">
        <f t="shared" si="2"/>
        <v>0.11001092902357021</v>
      </c>
      <c r="F36" s="1">
        <f t="shared" si="3"/>
        <v>9.6114227164462523E-2</v>
      </c>
      <c r="G36" s="1">
        <f t="shared" si="0"/>
        <v>0.19535026281454093</v>
      </c>
      <c r="H36" s="1">
        <f t="shared" si="1"/>
        <v>0.59852458099742634</v>
      </c>
      <c r="I36" s="1">
        <f t="shared" si="4"/>
        <v>0.20690560830943672</v>
      </c>
    </row>
    <row r="37" spans="1:9" x14ac:dyDescent="0.4">
      <c r="A37" s="1">
        <v>3.2</v>
      </c>
      <c r="B37" s="1">
        <f>_xlfn.NORM.S.DIST(((A37)-'1_全損率'!$G$3)/'1_全損率'!$H$3, TRUE)</f>
        <v>0.11286340847074888</v>
      </c>
      <c r="C37" s="1">
        <f>_xlfn.NORM.S.DIST(((A37)-'2_全半壊率'!$G$3)/'2_全半壊率'!$H$3, TRUE)</f>
        <v>0.21339983459519987</v>
      </c>
      <c r="D37" s="1">
        <f>_xlfn.NORM.S.DIST(((A37)-'3_一部損壊以上率'!$G$3)/'3_一部損壊以上率'!$H$3, TRUE)</f>
        <v>0.41174440470271123</v>
      </c>
      <c r="E37" s="1">
        <f t="shared" si="2"/>
        <v>0.11286340847074888</v>
      </c>
      <c r="F37" s="1">
        <f t="shared" si="3"/>
        <v>0.10053642612445099</v>
      </c>
      <c r="G37" s="1">
        <f t="shared" si="0"/>
        <v>0.19834457010751136</v>
      </c>
      <c r="H37" s="1">
        <f t="shared" si="1"/>
        <v>0.58825559529728877</v>
      </c>
      <c r="I37" s="1">
        <f t="shared" si="4"/>
        <v>0.21271776405985224</v>
      </c>
    </row>
    <row r="38" spans="1:9" x14ac:dyDescent="0.4">
      <c r="A38" s="1">
        <v>3.3</v>
      </c>
      <c r="B38" s="1">
        <f>_xlfn.NORM.S.DIST(((A38)-'1_全損率'!$G$3)/'1_全損率'!$H$3, TRUE)</f>
        <v>0.11576830042903045</v>
      </c>
      <c r="C38" s="1">
        <f>_xlfn.NORM.S.DIST(((A38)-'2_全半壊率'!$G$3)/'2_全半壊率'!$H$3, TRUE)</f>
        <v>0.22082200970979005</v>
      </c>
      <c r="D38" s="1">
        <f>_xlfn.NORM.S.DIST(((A38)-'3_一部損壊以上率'!$G$3)/'3_一部損壊以上率'!$H$3, TRUE)</f>
        <v>0.42207419837351934</v>
      </c>
      <c r="E38" s="1">
        <f t="shared" si="2"/>
        <v>0.11576830042903045</v>
      </c>
      <c r="F38" s="1">
        <f t="shared" si="3"/>
        <v>0.10505370928075959</v>
      </c>
      <c r="G38" s="1">
        <f t="shared" si="0"/>
        <v>0.20125218866372929</v>
      </c>
      <c r="H38" s="1">
        <f t="shared" si="1"/>
        <v>0.57792580162648066</v>
      </c>
      <c r="I38" s="1">
        <f t="shared" si="4"/>
        <v>0.21860820223534258</v>
      </c>
    </row>
    <row r="39" spans="1:9" x14ac:dyDescent="0.4">
      <c r="A39" s="1">
        <v>3.4</v>
      </c>
      <c r="B39" s="1">
        <f>_xlfn.NORM.S.DIST(((A39)-'1_全損率'!$G$3)/'1_全損率'!$H$3, TRUE)</f>
        <v>0.11872589975801501</v>
      </c>
      <c r="C39" s="1">
        <f>_xlfn.NORM.S.DIST(((A39)-'2_全半壊率'!$G$3)/'2_全半壊率'!$H$3, TRUE)</f>
        <v>0.22838984200776241</v>
      </c>
      <c r="D39" s="1">
        <f>_xlfn.NORM.S.DIST(((A39)-'3_一部損壊以上率'!$G$3)/'3_一部損壊以上率'!$H$3, TRUE)</f>
        <v>0.43245788252461587</v>
      </c>
      <c r="E39" s="1">
        <f t="shared" si="2"/>
        <v>0.11872589975801501</v>
      </c>
      <c r="F39" s="1">
        <f t="shared" si="3"/>
        <v>0.1096639422497474</v>
      </c>
      <c r="G39" s="1">
        <f t="shared" si="0"/>
        <v>0.20406804051685346</v>
      </c>
      <c r="H39" s="1">
        <f t="shared" si="1"/>
        <v>0.56754211747538408</v>
      </c>
      <c r="I39" s="1">
        <f t="shared" si="4"/>
        <v>0.22457488101210207</v>
      </c>
    </row>
    <row r="40" spans="1:9" x14ac:dyDescent="0.4">
      <c r="A40" s="1">
        <v>3.5</v>
      </c>
      <c r="B40" s="1">
        <f>_xlfn.NORM.S.DIST(((A40)-'1_全損率'!$G$3)/'1_全損率'!$H$3, TRUE)</f>
        <v>0.12173648264118053</v>
      </c>
      <c r="C40" s="1">
        <f>_xlfn.NORM.S.DIST(((A40)-'2_全半壊率'!$G$3)/'2_全半壊率'!$H$3, TRUE)</f>
        <v>0.23610126823285416</v>
      </c>
      <c r="D40" s="1">
        <f>_xlfn.NORM.S.DIST(((A40)-'3_一部損壊以上率'!$G$3)/'3_一部損壊以上率'!$H$3, TRUE)</f>
        <v>0.44288842789315086</v>
      </c>
      <c r="E40" s="1">
        <f t="shared" si="2"/>
        <v>0.12173648264118053</v>
      </c>
      <c r="F40" s="1">
        <f t="shared" si="3"/>
        <v>0.11436478559167362</v>
      </c>
      <c r="G40" s="1">
        <f t="shared" si="0"/>
        <v>0.2067871596602967</v>
      </c>
      <c r="H40" s="1">
        <f t="shared" si="1"/>
        <v>0.55711157210684914</v>
      </c>
      <c r="I40" s="1">
        <f t="shared" si="4"/>
        <v>0.23061566535209152</v>
      </c>
    </row>
    <row r="41" spans="1:9" x14ac:dyDescent="0.4">
      <c r="A41" s="1">
        <v>3.6</v>
      </c>
      <c r="B41" s="1">
        <f>_xlfn.NORM.S.DIST(((A41)-'1_全損率'!$G$3)/'1_全損率'!$H$3, TRUE)</f>
        <v>0.12480030606036008</v>
      </c>
      <c r="C41" s="1">
        <f>_xlfn.NORM.S.DIST(((A41)-'2_全半壊率'!$G$3)/'2_全半壊率'!$H$3, TRUE)</f>
        <v>0.24395400106516424</v>
      </c>
      <c r="D41" s="1">
        <f>_xlfn.NORM.S.DIST(((A41)-'3_一部損壊以上率'!$G$3)/'3_一部損壊以上率'!$H$3, TRUE)</f>
        <v>0.45335870770451586</v>
      </c>
      <c r="E41" s="1">
        <f t="shared" si="2"/>
        <v>0.12480030606036008</v>
      </c>
      <c r="F41" s="1">
        <f t="shared" si="3"/>
        <v>0.11915369500480416</v>
      </c>
      <c r="G41" s="1">
        <f t="shared" si="0"/>
        <v>0.20940470663935162</v>
      </c>
      <c r="H41" s="1">
        <f t="shared" si="1"/>
        <v>0.54664129229548419</v>
      </c>
      <c r="I41" s="1">
        <f t="shared" si="4"/>
        <v>0.23672833022260006</v>
      </c>
    </row>
    <row r="42" spans="1:9" x14ac:dyDescent="0.4">
      <c r="A42" s="1">
        <v>3.7</v>
      </c>
      <c r="B42" s="1">
        <f>_xlfn.NORM.S.DIST(((A42)-'1_全損率'!$G$3)/'1_全損率'!$H$3, TRUE)</f>
        <v>0.1279176072783067</v>
      </c>
      <c r="C42" s="1">
        <f>_xlfn.NORM.S.DIST(((A42)-'2_全半壊率'!$G$3)/'2_全半壊率'!$H$3, TRUE)</f>
        <v>0.25194552936042114</v>
      </c>
      <c r="D42" s="1">
        <f>_xlfn.NORM.S.DIST(((A42)-'3_一部損壊以上率'!$G$3)/'3_一部損壊以上率'!$H$3, TRUE)</f>
        <v>0.46386151227114386</v>
      </c>
      <c r="E42" s="1">
        <f t="shared" si="2"/>
        <v>0.1279176072783067</v>
      </c>
      <c r="F42" s="1">
        <f t="shared" si="3"/>
        <v>0.12402792208211444</v>
      </c>
      <c r="G42" s="1">
        <f t="shared" si="0"/>
        <v>0.21191598291072272</v>
      </c>
      <c r="H42" s="1">
        <f t="shared" si="1"/>
        <v>0.53613848772885619</v>
      </c>
      <c r="I42" s="1">
        <f t="shared" si="4"/>
        <v>0.24291056404704459</v>
      </c>
    </row>
    <row r="43" spans="1:9" x14ac:dyDescent="0.4">
      <c r="A43" s="1">
        <v>3.8</v>
      </c>
      <c r="B43" s="1">
        <f>_xlfn.NORM.S.DIST(((A43)-'1_全損率'!$G$3)/'1_全損率'!$H$3, TRUE)</f>
        <v>0.13108860333008129</v>
      </c>
      <c r="C43" s="1">
        <f>_xlfn.NORM.S.DIST(((A43)-'2_全半壊率'!$G$3)/'2_全半壊率'!$H$3, TRUE)</f>
        <v>0.26007311896980512</v>
      </c>
      <c r="D43" s="1">
        <f>_xlfn.NORM.S.DIST(((A43)-'3_一部損壊以上率'!$G$3)/'3_一部損壊以上率'!$H$3, TRUE)</f>
        <v>0.47438956387959064</v>
      </c>
      <c r="E43" s="1">
        <f t="shared" si="2"/>
        <v>0.13108860333008129</v>
      </c>
      <c r="F43" s="1">
        <f t="shared" si="3"/>
        <v>0.12898451563972382</v>
      </c>
      <c r="G43" s="1">
        <f t="shared" si="0"/>
        <v>0.21431644490978552</v>
      </c>
      <c r="H43" s="1">
        <f t="shared" si="1"/>
        <v>0.52561043612040936</v>
      </c>
      <c r="I43" s="1">
        <f t="shared" si="4"/>
        <v>0.2491599723773896</v>
      </c>
    </row>
    <row r="44" spans="1:9" x14ac:dyDescent="0.4">
      <c r="A44" s="1">
        <v>3.9</v>
      </c>
      <c r="B44" s="1">
        <f>_xlfn.NORM.S.DIST(((A44)-'1_全損率'!$G$3)/'1_全損率'!$H$3, TRUE)</f>
        <v>0.13431349052399585</v>
      </c>
      <c r="C44" s="1">
        <f>_xlfn.NORM.S.DIST(((A44)-'2_全半壊率'!$G$3)/'2_全半壊率'!$H$3, TRUE)</f>
        <v>0.26833381414813523</v>
      </c>
      <c r="D44" s="1">
        <f>_xlfn.NORM.S.DIST(((A44)-'3_一部損壊以上率'!$G$3)/'3_一部損壊以上率'!$H$3, TRUE)</f>
        <v>0.48493553191468725</v>
      </c>
      <c r="E44" s="1">
        <f t="shared" si="2"/>
        <v>0.13431349052399585</v>
      </c>
      <c r="F44" s="1">
        <f t="shared" si="3"/>
        <v>0.13402032362413938</v>
      </c>
      <c r="G44" s="1">
        <f t="shared" si="0"/>
        <v>0.21660171776655202</v>
      </c>
      <c r="H44" s="1">
        <f t="shared" si="1"/>
        <v>0.5150644680853127</v>
      </c>
      <c r="I44" s="1">
        <f t="shared" si="4"/>
        <v>0.25547408177770353</v>
      </c>
    </row>
    <row r="45" spans="1:9" x14ac:dyDescent="0.4">
      <c r="A45" s="1">
        <v>4</v>
      </c>
      <c r="B45" s="1">
        <f>_xlfn.NORM.S.DIST(((A45)-'1_全損率'!$G$3)/'1_全損率'!$H$3, TRUE)</f>
        <v>0.13759244395284839</v>
      </c>
      <c r="C45" s="1">
        <f>_xlfn.NORM.S.DIST(((A45)-'2_全半壊率'!$G$3)/'2_全半壊率'!$H$3, TRUE)</f>
        <v>0.27672443955609582</v>
      </c>
      <c r="D45" s="1">
        <f>_xlfn.NORM.S.DIST(((A45)-'3_一部損壊以上率'!$G$3)/'3_一部損壊以上率'!$H$3, TRUE)</f>
        <v>0.49549204816839615</v>
      </c>
      <c r="E45" s="1">
        <f t="shared" si="2"/>
        <v>0.13759244395284839</v>
      </c>
      <c r="F45" s="1">
        <f t="shared" si="3"/>
        <v>0.13913199560324743</v>
      </c>
      <c r="G45" s="1">
        <f t="shared" si="0"/>
        <v>0.21876760861230032</v>
      </c>
      <c r="H45" s="1">
        <f t="shared" si="1"/>
        <v>0.5045079518316038</v>
      </c>
      <c r="I45" s="1">
        <f t="shared" si="4"/>
        <v>0.26185034390754719</v>
      </c>
    </row>
    <row r="46" spans="1:9" x14ac:dyDescent="0.4">
      <c r="A46" s="1">
        <v>4.0999999999999996</v>
      </c>
      <c r="B46" s="1">
        <f>_xlfn.NORM.S.DIST(((A46)-'1_全損率'!$G$3)/'1_全損率'!$H$3, TRUE)</f>
        <v>0.1409256170161802</v>
      </c>
      <c r="C46" s="1">
        <f>_xlfn.NORM.S.DIST(((A46)-'2_全半壊率'!$G$3)/'2_全半壊率'!$H$3, TRUE)</f>
        <v>0.28524160285998712</v>
      </c>
      <c r="D46" s="1">
        <f>_xlfn.NORM.S.DIST(((A46)-'3_一部損壊以上率'!$G$3)/'3_一部損壊以上率'!$H$3, TRUE)</f>
        <v>0.50605172228010087</v>
      </c>
      <c r="E46" s="1">
        <f t="shared" si="2"/>
        <v>0.1409256170161802</v>
      </c>
      <c r="F46" s="1">
        <f t="shared" si="3"/>
        <v>0.14431598584380692</v>
      </c>
      <c r="G46" s="1">
        <f t="shared" si="0"/>
        <v>0.22081011942011375</v>
      </c>
      <c r="H46" s="1">
        <f t="shared" si="1"/>
        <v>0.49394827771989913</v>
      </c>
      <c r="I46" s="1">
        <f t="shared" si="4"/>
        <v>0.26828613979311211</v>
      </c>
    </row>
    <row r="47" spans="1:9" x14ac:dyDescent="0.4">
      <c r="A47" s="1">
        <v>4.2</v>
      </c>
      <c r="B47" s="1">
        <f>_xlfn.NORM.S.DIST(((A47)-'1_全損率'!$G$3)/'1_全損率'!$H$3, TRUE)</f>
        <v>0.14431314095428729</v>
      </c>
      <c r="C47" s="1">
        <f>_xlfn.NORM.S.DIST(((A47)-'2_全半壊率'!$G$3)/'2_全半壊率'!$H$3, TRUE)</f>
        <v>0.29388169793023244</v>
      </c>
      <c r="D47" s="1">
        <f>_xlfn.NORM.S.DIST(((A47)-'3_一部損壊以上率'!$G$3)/'3_一部損壊以上率'!$H$3, TRUE)</f>
        <v>0.51660715725441686</v>
      </c>
      <c r="E47" s="1">
        <f t="shared" si="2"/>
        <v>0.14431314095428729</v>
      </c>
      <c r="F47" s="1">
        <f t="shared" si="3"/>
        <v>0.14956855697594515</v>
      </c>
      <c r="G47" s="1">
        <f t="shared" si="0"/>
        <v>0.22272545932418442</v>
      </c>
      <c r="H47" s="1">
        <f t="shared" si="1"/>
        <v>0.48339284274558314</v>
      </c>
      <c r="I47" s="1">
        <f t="shared" si="4"/>
        <v>0.27477878427330593</v>
      </c>
    </row>
    <row r="48" spans="1:9" x14ac:dyDescent="0.4">
      <c r="A48" s="1">
        <v>4.3</v>
      </c>
      <c r="B48" s="1">
        <f>_xlfn.NORM.S.DIST(((A48)-'1_全損率'!$G$3)/'1_全損率'!$H$3, TRUE)</f>
        <v>0.1477551243947102</v>
      </c>
      <c r="C48" s="1">
        <f>_xlfn.NORM.S.DIST(((A48)-'2_全半壊率'!$G$3)/'2_全半壊率'!$H$3, TRUE)</f>
        <v>0.3026409086375863</v>
      </c>
      <c r="D48" s="1">
        <f>_xlfn.NORM.S.DIST(((A48)-'3_一部損壊以上率'!$G$3)/'3_一部損壊以上率'!$H$3, TRUE)</f>
        <v>0.52715096500222858</v>
      </c>
      <c r="E48" s="1">
        <f t="shared" si="2"/>
        <v>0.1477551243947102</v>
      </c>
      <c r="F48" s="1">
        <f t="shared" si="3"/>
        <v>0.15488578424287611</v>
      </c>
      <c r="G48" s="1">
        <f t="shared" si="0"/>
        <v>0.22451005636464227</v>
      </c>
      <c r="H48" s="1">
        <f t="shared" si="1"/>
        <v>0.47284903499777142</v>
      </c>
      <c r="I48" s="1">
        <f t="shared" si="4"/>
        <v>0.2813255306073088</v>
      </c>
    </row>
    <row r="49" spans="1:9" x14ac:dyDescent="0.4">
      <c r="A49" s="1">
        <v>4.4000000000000004</v>
      </c>
      <c r="B49" s="1">
        <f>_xlfn.NORM.S.DIST(((A49)-'1_全損率'!$G$3)/'1_全損率'!$H$3, TRUE)</f>
        <v>0.15125165291192641</v>
      </c>
      <c r="C49" s="1">
        <f>_xlfn.NORM.S.DIST(((A49)-'2_全半壊率'!$G$3)/'2_全半壊率'!$H$3, TRUE)</f>
        <v>0.31151521324367182</v>
      </c>
      <c r="D49" s="1">
        <f>_xlfn.NORM.S.DIST(((A49)-'3_一部損壊以上率'!$G$3)/'3_一部損壊以上率'!$H$3, TRUE)</f>
        <v>0.53767578185055021</v>
      </c>
      <c r="E49" s="1">
        <f t="shared" si="2"/>
        <v>0.15125165291192641</v>
      </c>
      <c r="F49" s="1">
        <f t="shared" si="3"/>
        <v>0.16026356033174541</v>
      </c>
      <c r="G49" s="1">
        <f t="shared" si="0"/>
        <v>0.22616056860687839</v>
      </c>
      <c r="H49" s="1">
        <f t="shared" si="1"/>
        <v>0.46232421814944979</v>
      </c>
      <c r="I49" s="1">
        <f t="shared" si="4"/>
        <v>0.28792357522951872</v>
      </c>
    </row>
    <row r="50" spans="1:9" x14ac:dyDescent="0.4">
      <c r="A50" s="1">
        <v>4.5</v>
      </c>
      <c r="B50" s="1">
        <f>_xlfn.NORM.S.DIST(((A50)-'1_全損率'!$G$3)/'1_全損率'!$H$3, TRUE)</f>
        <v>0.15480278860095686</v>
      </c>
      <c r="C50" s="1">
        <f>_xlfn.NORM.S.DIST(((A50)-'2_全半壊率'!$G$3)/'2_全半壊率'!$H$3, TRUE)</f>
        <v>0.32050038938013081</v>
      </c>
      <c r="D50" s="1">
        <f>_xlfn.NORM.S.DIST(((A50)-'3_一部損壊以上率'!$G$3)/'3_一部損壊以上率'!$H$3, TRUE)</f>
        <v>0.54817428396695</v>
      </c>
      <c r="E50" s="1">
        <f t="shared" si="2"/>
        <v>0.15480278860095686</v>
      </c>
      <c r="F50" s="1">
        <f t="shared" si="3"/>
        <v>0.16569760077917395</v>
      </c>
      <c r="G50" s="1">
        <f t="shared" si="0"/>
        <v>0.22767389458681919</v>
      </c>
      <c r="H50" s="1">
        <f t="shared" si="1"/>
        <v>0.45182571603305</v>
      </c>
      <c r="I50" s="1">
        <f t="shared" si="4"/>
        <v>0.29457006263724861</v>
      </c>
    </row>
    <row r="51" spans="1:9" x14ac:dyDescent="0.4">
      <c r="A51" s="1">
        <v>4.5999999999999996</v>
      </c>
      <c r="B51" s="1">
        <f>_xlfn.NORM.S.DIST(((A51)-'1_全損率'!$G$3)/'1_全損率'!$H$3, TRUE)</f>
        <v>0.15840856966559663</v>
      </c>
      <c r="C51" s="1">
        <f>_xlfn.NORM.S.DIST(((A51)-'2_全半壊率'!$G$3)/'2_全半壊率'!$H$3, TRUE)</f>
        <v>0.3295920196083299</v>
      </c>
      <c r="D51" s="1">
        <f>_xlfn.NORM.S.DIST(((A51)-'3_一部損壊以上率'!$G$3)/'3_一部損壊以上率'!$H$3, TRUE)</f>
        <v>0.55863920264470979</v>
      </c>
      <c r="E51" s="1">
        <f t="shared" si="2"/>
        <v>0.15840856966559663</v>
      </c>
      <c r="F51" s="1">
        <f t="shared" si="3"/>
        <v>0.17118344994273327</v>
      </c>
      <c r="G51" s="1">
        <f t="shared" si="0"/>
        <v>0.22904718303637989</v>
      </c>
      <c r="H51" s="1">
        <f t="shared" si="1"/>
        <v>0.44136079735529021</v>
      </c>
      <c r="I51" s="1">
        <f t="shared" si="4"/>
        <v>0.30126209039605822</v>
      </c>
    </row>
    <row r="52" spans="1:9" x14ac:dyDescent="0.4">
      <c r="A52" s="1">
        <v>4.7</v>
      </c>
      <c r="B52" s="1">
        <f>_xlfn.NORM.S.DIST(((A52)-'1_全損率'!$G$3)/'1_全損率'!$H$3, TRUE)</f>
        <v>0.16206901002196719</v>
      </c>
      <c r="C52" s="1">
        <f>_xlfn.NORM.S.DIST(((A52)-'2_全半壊率'!$G$3)/'2_全半壊率'!$H$3, TRUE)</f>
        <v>0.33878549754922005</v>
      </c>
      <c r="D52" s="1">
        <f>_xlfn.NORM.S.DIST(((A52)-'3_一部損壊以上率'!$G$3)/'3_一部損壊以上率'!$H$3, TRUE)</f>
        <v>0.56906333939556009</v>
      </c>
      <c r="E52" s="1">
        <f t="shared" si="2"/>
        <v>0.16206901002196719</v>
      </c>
      <c r="F52" s="1">
        <f t="shared" si="3"/>
        <v>0.17671648752725286</v>
      </c>
      <c r="G52" s="1">
        <f t="shared" si="0"/>
        <v>0.23027784184634004</v>
      </c>
      <c r="H52" s="1">
        <f t="shared" si="1"/>
        <v>0.43093666060443991</v>
      </c>
      <c r="I52" s="1">
        <f t="shared" si="4"/>
        <v>0.30799671424717862</v>
      </c>
    </row>
    <row r="53" spans="1:9" x14ac:dyDescent="0.4">
      <c r="A53" s="1">
        <v>4.8</v>
      </c>
      <c r="B53" s="1">
        <f>_xlfn.NORM.S.DIST(((A53)-'1_全損率'!$G$3)/'1_全損率'!$H$3, TRUE)</f>
        <v>0.16578409891807941</v>
      </c>
      <c r="C53" s="1">
        <f>_xlfn.NORM.S.DIST(((A53)-'2_全半壊率'!$G$3)/'2_全半壊率'!$H$3, TRUE)</f>
        <v>0.3480760345706263</v>
      </c>
      <c r="D53" s="1">
        <f>_xlfn.NORM.S.DIST(((A53)-'3_一部損壊以上率'!$G$3)/'3_一部損壊以上率'!$H$3, TRUE)</f>
        <v>0.57943958079777869</v>
      </c>
      <c r="E53" s="1">
        <f t="shared" si="2"/>
        <v>0.16578409891807941</v>
      </c>
      <c r="F53" s="1">
        <f t="shared" si="3"/>
        <v>0.18229193565254689</v>
      </c>
      <c r="G53" s="1">
        <f t="shared" si="0"/>
        <v>0.23136354622715238</v>
      </c>
      <c r="H53" s="1">
        <f t="shared" si="1"/>
        <v>0.42056041920222131</v>
      </c>
      <c r="I53" s="1">
        <f t="shared" si="4"/>
        <v>0.31477095330114097</v>
      </c>
    </row>
    <row r="54" spans="1:9" x14ac:dyDescent="0.4">
      <c r="A54" s="1">
        <v>4.9000000000000004</v>
      </c>
      <c r="B54" s="1">
        <f>_xlfn.NORM.S.DIST(((A54)-'1_全損率'!$G$3)/'1_全損率'!$H$3, TRUE)</f>
        <v>0.16955380057008432</v>
      </c>
      <c r="C54" s="1">
        <f>_xlfn.NORM.S.DIST(((A54)-'2_全半壊率'!$G$3)/'2_全半壊率'!$H$3, TRUE)</f>
        <v>0.35745866701694473</v>
      </c>
      <c r="D54" s="1">
        <f>_xlfn.NORM.S.DIST(((A54)-'3_一部損壊以上率'!$G$3)/'3_一部損壊以上率'!$H$3, TRUE)</f>
        <v>0.58976091304863365</v>
      </c>
      <c r="E54" s="1">
        <f t="shared" si="2"/>
        <v>0.16955380057008432</v>
      </c>
      <c r="F54" s="1">
        <f t="shared" si="3"/>
        <v>0.18790486644686041</v>
      </c>
      <c r="G54" s="1">
        <f t="shared" si="0"/>
        <v>0.23230224603168892</v>
      </c>
      <c r="H54" s="1">
        <f t="shared" si="1"/>
        <v>0.41023908695136635</v>
      </c>
      <c r="I54" s="1">
        <f t="shared" si="4"/>
        <v>0.32158179530143671</v>
      </c>
    </row>
    <row r="55" spans="1:9" x14ac:dyDescent="0.4">
      <c r="A55" s="1">
        <v>5</v>
      </c>
      <c r="B55" s="1">
        <f>_xlfn.NORM.S.DIST(((A55)-'1_全損率'!$G$3)/'1_全損率'!$H$3, TRUE)</f>
        <v>0.17337805381587654</v>
      </c>
      <c r="C55" s="1">
        <f>_xlfn.NORM.S.DIST(((A55)-'2_全半壊率'!$G$3)/'2_全半壊率'!$H$3, TRUE)</f>
        <v>0.36692826396397188</v>
      </c>
      <c r="D55" s="1">
        <f>_xlfn.NORM.S.DIST(((A55)-'3_一部損壊以上率'!$G$3)/'3_一部損壊以上率'!$H$3, TRUE)</f>
        <v>0.60002043617158396</v>
      </c>
      <c r="E55" s="1">
        <f t="shared" si="2"/>
        <v>0.17337805381587654</v>
      </c>
      <c r="F55" s="1">
        <f t="shared" si="3"/>
        <v>0.19355021014809534</v>
      </c>
      <c r="G55" s="1">
        <f t="shared" si="0"/>
        <v>0.23309217220761208</v>
      </c>
      <c r="H55" s="1">
        <f t="shared" si="1"/>
        <v>0.39997956382841604</v>
      </c>
      <c r="I55" s="1">
        <f t="shared" si="4"/>
        <v>0.3284262019418272</v>
      </c>
    </row>
    <row r="56" spans="1:9" x14ac:dyDescent="0.4">
      <c r="A56" s="1">
        <v>5.0999999999999996</v>
      </c>
      <c r="B56" s="1">
        <f>_xlfn.NORM.S.DIST(((A56)-'1_全損率'!$G$3)/'1_全損率'!$H$3, TRUE)</f>
        <v>0.17725677178670238</v>
      </c>
      <c r="C56" s="1">
        <f>_xlfn.NORM.S.DIST(((A56)-'2_全半壊率'!$G$3)/'2_全半壊率'!$H$3, TRUE)</f>
        <v>0.37647953547938945</v>
      </c>
      <c r="D56" s="1">
        <f>_xlfn.NORM.S.DIST(((A56)-'3_一部損壊以上率'!$G$3)/'3_一部損壊以上率'!$H$3, TRUE)</f>
        <v>0.61021137783033419</v>
      </c>
      <c r="E56" s="1">
        <f t="shared" si="2"/>
        <v>0.17725677178670238</v>
      </c>
      <c r="F56" s="1">
        <f t="shared" si="3"/>
        <v>0.19922276369268707</v>
      </c>
      <c r="G56" s="1">
        <f t="shared" si="0"/>
        <v>0.23373184235094474</v>
      </c>
      <c r="H56" s="1">
        <f t="shared" si="1"/>
        <v>0.38978862216966581</v>
      </c>
      <c r="I56" s="1">
        <f t="shared" si="4"/>
        <v>0.33530111422078207</v>
      </c>
    </row>
    <row r="57" spans="1:9" x14ac:dyDescent="0.4">
      <c r="A57" s="1">
        <v>5.2</v>
      </c>
      <c r="B57" s="1">
        <f>_xlfn.NORM.S.DIST(((A57)-'1_全損率'!$G$3)/'1_全損率'!$H$3, TRUE)</f>
        <v>0.18118984159740706</v>
      </c>
      <c r="C57" s="1">
        <f>_xlfn.NORM.S.DIST(((A57)-'2_全半壊率'!$G$3)/'2_全半壊率'!$H$3, TRUE)</f>
        <v>0.38610704136728746</v>
      </c>
      <c r="D57" s="1">
        <f>_xlfn.NORM.S.DIST(((A57)-'3_一部損壊以上率'!$G$3)/'3_一部損壊以上率'!$H$3, TRUE)</f>
        <v>0.62032710670373081</v>
      </c>
      <c r="E57" s="1">
        <f t="shared" si="2"/>
        <v>0.18118984159740706</v>
      </c>
      <c r="F57" s="1">
        <f t="shared" si="3"/>
        <v>0.2049171997698804</v>
      </c>
      <c r="G57" s="1">
        <f t="shared" si="0"/>
        <v>0.23422006533644335</v>
      </c>
      <c r="H57" s="1">
        <f t="shared" si="1"/>
        <v>0.37967289329626919</v>
      </c>
      <c r="I57" s="1">
        <f t="shared" si="4"/>
        <v>0.34220345781645811</v>
      </c>
    </row>
    <row r="58" spans="1:9" x14ac:dyDescent="0.4">
      <c r="A58" s="1">
        <v>5.3</v>
      </c>
      <c r="B58" s="1">
        <f>_xlfn.NORM.S.DIST(((A58)-'1_全損率'!$G$3)/'1_全損率'!$H$3, TRUE)</f>
        <v>0.18517712405594222</v>
      </c>
      <c r="C58" s="1">
        <f>_xlfn.NORM.S.DIST(((A58)-'2_全半壊率'!$G$3)/'2_全半壊率'!$H$3, TRUE)</f>
        <v>0.39580520037305239</v>
      </c>
      <c r="D58" s="1">
        <f>_xlfn.NORM.S.DIST(((A58)-'3_一部損壊以上率'!$G$3)/'3_一部損壊以上率'!$H$3, TRUE)</f>
        <v>0.63036114537761145</v>
      </c>
      <c r="E58" s="1">
        <f t="shared" si="2"/>
        <v>0.18517712405594222</v>
      </c>
      <c r="F58" s="1">
        <f t="shared" si="3"/>
        <v>0.21062807631711017</v>
      </c>
      <c r="G58" s="1">
        <f t="shared" si="0"/>
        <v>0.23455594500455906</v>
      </c>
      <c r="H58" s="1">
        <f t="shared" si="1"/>
        <v>0.36963885462238855</v>
      </c>
      <c r="I58" s="1">
        <f t="shared" si="4"/>
        <v>0.34913014846563711</v>
      </c>
    </row>
    <row r="59" spans="1:9" x14ac:dyDescent="0.4">
      <c r="A59" s="1">
        <v>5.4</v>
      </c>
      <c r="B59" s="1">
        <f>_xlfn.NORM.S.DIST(((A59)-'1_全損率'!$G$3)/'1_全損率'!$H$3, TRUE)</f>
        <v>0.18921845339273619</v>
      </c>
      <c r="C59" s="1">
        <f>_xlfn.NORM.S.DIST(((A59)-'2_全半壊率'!$G$3)/'2_全半壊率'!$H$3, TRUE)</f>
        <v>0.40556829982297293</v>
      </c>
      <c r="D59" s="1">
        <f>_xlfn.NORM.S.DIST(((A59)-'3_一部損壊以上率'!$G$3)/'3_一部損壊以上率'!$H$3, TRUE)</f>
        <v>0.64030718271202625</v>
      </c>
      <c r="E59" s="1">
        <f t="shared" si="2"/>
        <v>0.18921845339273619</v>
      </c>
      <c r="F59" s="1">
        <f t="shared" si="3"/>
        <v>0.21634984643023675</v>
      </c>
      <c r="G59" s="1">
        <f t="shared" si="0"/>
        <v>0.23473888288905331</v>
      </c>
      <c r="H59" s="1">
        <f t="shared" si="1"/>
        <v>0.35969281728797375</v>
      </c>
      <c r="I59" s="1">
        <f t="shared" si="4"/>
        <v>0.35607809733011792</v>
      </c>
    </row>
    <row r="60" spans="1:9" x14ac:dyDescent="0.4">
      <c r="A60" s="1">
        <v>5.5</v>
      </c>
      <c r="B60" s="1">
        <f>_xlfn.NORM.S.DIST(((A60)-'1_全損率'!$G$3)/'1_全損率'!$H$3, TRUE)</f>
        <v>0.19331363701050938</v>
      </c>
      <c r="C60" s="1">
        <f>_xlfn.NORM.S.DIST(((A60)-'2_全半壊率'!$G$3)/'2_全半壊率'!$H$3, TRUE)</f>
        <v>0.41539050567103758</v>
      </c>
      <c r="D60" s="1">
        <f>_xlfn.NORM.S.DIST(((A60)-'3_一部損壊以上率'!$G$3)/'3_一部損壊以上率'!$H$3, TRUE)</f>
        <v>0.65015908564475755</v>
      </c>
      <c r="E60" s="1">
        <f t="shared" si="2"/>
        <v>0.19331363701050938</v>
      </c>
      <c r="F60" s="1">
        <f t="shared" si="3"/>
        <v>0.2220768686605282</v>
      </c>
      <c r="G60" s="1">
        <f t="shared" si="0"/>
        <v>0.23476857997371997</v>
      </c>
      <c r="H60" s="1">
        <f t="shared" si="1"/>
        <v>0.34984091435524245</v>
      </c>
      <c r="I60" s="1">
        <f t="shared" si="4"/>
        <v>0.36304421633420347</v>
      </c>
    </row>
    <row r="61" spans="1:9" x14ac:dyDescent="0.4">
      <c r="A61" s="1">
        <v>5.6</v>
      </c>
      <c r="B61" s="1">
        <f>_xlfn.NORM.S.DIST(((A61)-'1_全損率'!$G$3)/'1_全損率'!$H$3, TRUE)</f>
        <v>0.19746245525510095</v>
      </c>
      <c r="C61" s="1">
        <f>_xlfn.NORM.S.DIST(((A61)-'2_全半壊率'!$G$3)/'2_全半壊率'!$H$3, TRUE)</f>
        <v>0.4252658729236401</v>
      </c>
      <c r="D61" s="1">
        <f>_xlfn.NORM.S.DIST(((A61)-'3_一部損壊以上率'!$G$3)/'3_一部損壊以上率'!$H$3, TRUE)</f>
        <v>0.65991091039473759</v>
      </c>
      <c r="E61" s="1">
        <f t="shared" si="2"/>
        <v>0.19746245525510095</v>
      </c>
      <c r="F61" s="1">
        <f t="shared" si="3"/>
        <v>0.22780341766853915</v>
      </c>
      <c r="G61" s="1">
        <f t="shared" si="0"/>
        <v>0.2346450374710975</v>
      </c>
      <c r="H61" s="1">
        <f t="shared" si="1"/>
        <v>0.34008908960526241</v>
      </c>
      <c r="I61" s="1">
        <f t="shared" si="4"/>
        <v>0.3700254234571449</v>
      </c>
    </row>
    <row r="62" spans="1:9" x14ac:dyDescent="0.4">
      <c r="A62" s="1">
        <v>5.7</v>
      </c>
      <c r="B62" s="1">
        <f>_xlfn.NORM.S.DIST(((A62)-'1_全損率'!$G$3)/'1_全損率'!$H$3, TRUE)</f>
        <v>0.20166466120784712</v>
      </c>
      <c r="C62" s="1">
        <f>_xlfn.NORM.S.DIST(((A62)-'2_全半壊率'!$G$3)/'2_全半壊率'!$H$3, TRUE)</f>
        <v>0.43518835641125614</v>
      </c>
      <c r="D62" s="1">
        <f>_xlfn.NORM.S.DIST(((A62)-'3_一部損壊以上率'!$G$3)/'3_一部損壊以上率'!$H$3, TRUE)</f>
        <v>0.66955691303178888</v>
      </c>
      <c r="E62" s="1">
        <f t="shared" si="2"/>
        <v>0.20166466120784712</v>
      </c>
      <c r="F62" s="1">
        <f t="shared" si="3"/>
        <v>0.23352369520340902</v>
      </c>
      <c r="G62" s="1">
        <f t="shared" si="0"/>
        <v>0.23436855662053274</v>
      </c>
      <c r="H62" s="1">
        <f t="shared" si="1"/>
        <v>0.33044308696821112</v>
      </c>
      <c r="I62" s="1">
        <f t="shared" si="4"/>
        <v>0.37701864796468482</v>
      </c>
    </row>
    <row r="63" spans="1:9" x14ac:dyDescent="0.4">
      <c r="A63" s="1">
        <v>5.8</v>
      </c>
      <c r="B63" s="1">
        <f>_xlfn.NORM.S.DIST(((A63)-'1_全損率'!$G$3)/'1_全損率'!$H$3, TRUE)</f>
        <v>0.20591998050003379</v>
      </c>
      <c r="C63" s="1">
        <f>_xlfn.NORM.S.DIST(((A63)-'2_全半壊率'!$G$3)/'2_全半壊率'!$H$3, TRUE)</f>
        <v>0.44515182187463809</v>
      </c>
      <c r="D63" s="1">
        <f>_xlfn.NORM.S.DIST(((A63)-'3_一部損壊以上率'!$G$3)/'3_一部損壊以上率'!$H$3, TRUE)</f>
        <v>0.67909155938208254</v>
      </c>
      <c r="E63" s="1">
        <f t="shared" si="2"/>
        <v>0.20591998050003379</v>
      </c>
      <c r="F63" s="1">
        <f t="shared" si="3"/>
        <v>0.23923184137460429</v>
      </c>
      <c r="G63" s="1">
        <f t="shared" si="0"/>
        <v>0.23393973750744446</v>
      </c>
      <c r="H63" s="1">
        <f t="shared" si="1"/>
        <v>0.32090844061791746</v>
      </c>
      <c r="I63" s="1">
        <f t="shared" si="4"/>
        <v>0.38402083556419708</v>
      </c>
    </row>
    <row r="64" spans="1:9" x14ac:dyDescent="0.4">
      <c r="A64" s="1">
        <v>5.9</v>
      </c>
      <c r="B64" s="1">
        <f>_xlfn.NORM.S.DIST(((A64)-'1_全損率'!$G$3)/'1_全損率'!$H$3, TRUE)</f>
        <v>0.21022811114992004</v>
      </c>
      <c r="C64" s="1">
        <f>_xlfn.NORM.S.DIST(((A64)-'2_全半壊率'!$G$3)/'2_全半壊率'!$H$3, TRUE)</f>
        <v>0.45515005733169472</v>
      </c>
      <c r="D64" s="1">
        <f>_xlfn.NORM.S.DIST(((A64)-'3_一部損壊以上率'!$G$3)/'3_一部損壊以上率'!$H$3, TRUE)</f>
        <v>0.68850953424179795</v>
      </c>
      <c r="E64" s="1">
        <f t="shared" si="2"/>
        <v>0.21022811114992004</v>
      </c>
      <c r="F64" s="1">
        <f t="shared" si="3"/>
        <v>0.24492194618177468</v>
      </c>
      <c r="G64" s="1">
        <f t="shared" si="0"/>
        <v>0.23335947691010323</v>
      </c>
      <c r="H64" s="1">
        <f t="shared" si="1"/>
        <v>0.31149046575820205</v>
      </c>
      <c r="I64" s="1">
        <f t="shared" si="4"/>
        <v>0.39102895346833322</v>
      </c>
    </row>
    <row r="65" spans="1:9" x14ac:dyDescent="0.4">
      <c r="A65" s="1">
        <v>6</v>
      </c>
      <c r="B65" s="1">
        <f>_xlfn.NORM.S.DIST(((A65)-'1_全損率'!$G$3)/'1_全損率'!$H$3, TRUE)</f>
        <v>0.21458872342280566</v>
      </c>
      <c r="C65" s="1">
        <f>_xlfn.NORM.S.DIST(((A65)-'2_全半壊率'!$G$3)/'2_全半壊率'!$H$3, TRUE)</f>
        <v>0.4651767846899808</v>
      </c>
      <c r="D65" s="1">
        <f>_xlfn.NORM.S.DIST(((A65)-'3_一部損壊以上率'!$G$3)/'3_一部損壊以上率'!$H$3, TRUE)</f>
        <v>0.69780574987464949</v>
      </c>
      <c r="E65" s="1">
        <f t="shared" si="2"/>
        <v>0.21458872342280566</v>
      </c>
      <c r="F65" s="1">
        <f t="shared" si="3"/>
        <v>0.25058806126717514</v>
      </c>
      <c r="G65" s="1">
        <f t="shared" si="0"/>
        <v>0.23262896518466869</v>
      </c>
      <c r="H65" s="1">
        <f t="shared" si="1"/>
        <v>0.30219425012535051</v>
      </c>
      <c r="I65" s="1">
        <f t="shared" si="4"/>
        <v>0.39803999535256041</v>
      </c>
    </row>
    <row r="66" spans="1:9" x14ac:dyDescent="0.4">
      <c r="A66" s="1">
        <v>6.1</v>
      </c>
      <c r="B66" s="1">
        <f>_xlfn.NORM.S.DIST(((A66)-'1_全損率'!$G$3)/'1_全損率'!$H$3, TRUE)</f>
        <v>0.21900145971459012</v>
      </c>
      <c r="C66" s="1">
        <f>_xlfn.NORM.S.DIST(((A66)-'2_全半壊率'!$G$3)/'2_全半壊率'!$H$3, TRUE)</f>
        <v>0.47522567156863954</v>
      </c>
      <c r="D66" s="1">
        <f>_xlfn.NORM.S.DIST(((A66)-'3_一部損壊以上率'!$G$3)/'3_一部損壊以上率'!$H$3, TRUE)</f>
        <v>0.70697535377222431</v>
      </c>
      <c r="E66" s="1">
        <f t="shared" si="2"/>
        <v>0.21900145971459012</v>
      </c>
      <c r="F66" s="1">
        <f t="shared" si="3"/>
        <v>0.25622421185404942</v>
      </c>
      <c r="G66" s="1">
        <f t="shared" si="0"/>
        <v>0.23174968220358477</v>
      </c>
      <c r="H66" s="1">
        <f t="shared" si="1"/>
        <v>0.29302464622777569</v>
      </c>
      <c r="I66" s="1">
        <f t="shared" si="4"/>
        <v>0.40505098619251101</v>
      </c>
    </row>
    <row r="67" spans="1:9" x14ac:dyDescent="0.4">
      <c r="A67" s="1">
        <v>6.2</v>
      </c>
      <c r="B67" s="1">
        <f>_xlfn.NORM.S.DIST(((A67)-'1_全損率'!$G$3)/'1_全損率'!$H$3, TRUE)</f>
        <v>0.2234659344592452</v>
      </c>
      <c r="C67" s="1">
        <f>_xlfn.NORM.S.DIST(((A67)-'2_全半壊率'!$G$3)/'2_全半壊率'!$H$3, TRUE)</f>
        <v>0.48529034329270804</v>
      </c>
      <c r="D67" s="1">
        <f>_xlfn.NORM.S.DIST(((A67)-'3_一部損壊以上率'!$G$3)/'3_一部損壊以上率'!$H$3, TRUE)</f>
        <v>0.71601373565940751</v>
      </c>
      <c r="E67" s="1">
        <f t="shared" si="2"/>
        <v>0.2234659344592452</v>
      </c>
      <c r="F67" s="1">
        <f t="shared" si="3"/>
        <v>0.26182440883346281</v>
      </c>
      <c r="G67" s="1">
        <f t="shared" si="0"/>
        <v>0.23072339236669948</v>
      </c>
      <c r="H67" s="1">
        <f t="shared" si="1"/>
        <v>0.28398626434059249</v>
      </c>
      <c r="I67" s="1">
        <f t="shared" si="4"/>
        <v>0.41205898696765142</v>
      </c>
    </row>
    <row r="68" spans="1:9" x14ac:dyDescent="0.4">
      <c r="A68" s="1">
        <v>6.3</v>
      </c>
      <c r="B68" s="1">
        <f>_xlfn.NORM.S.DIST(((A68)-'1_全損率'!$G$3)/'1_全損率'!$H$3, TRUE)</f>
        <v>0.22798173406059272</v>
      </c>
      <c r="C68" s="1">
        <f>_xlfn.NORM.S.DIST(((A68)-'2_全半壊率'!$G$3)/'2_全半壊率'!$H$3, TRUE)</f>
        <v>0.49536439502193352</v>
      </c>
      <c r="D68" s="1">
        <f>_xlfn.NORM.S.DIST(((A68)-'3_一部損壊以上率'!$G$3)/'3_一部損壊以上率'!$H$3, TRUE)</f>
        <v>0.72491653373054932</v>
      </c>
      <c r="E68" s="1">
        <f t="shared" si="2"/>
        <v>0.22798173406059272</v>
      </c>
      <c r="F68" s="1">
        <f t="shared" si="3"/>
        <v>0.26738266096134078</v>
      </c>
      <c r="G68" s="1">
        <f t="shared" si="0"/>
        <v>0.22955213870861579</v>
      </c>
      <c r="H68" s="1">
        <f t="shared" si="1"/>
        <v>0.27508346626945068</v>
      </c>
      <c r="I68" s="1">
        <f t="shared" si="4"/>
        <v>0.41906109921841705</v>
      </c>
    </row>
    <row r="69" spans="1:9" x14ac:dyDescent="0.4">
      <c r="A69" s="1">
        <v>6.4</v>
      </c>
      <c r="B69" s="1">
        <f>_xlfn.NORM.S.DIST(((A69)-'1_全損率'!$G$3)/'1_全損率'!$H$3, TRUE)</f>
        <v>0.23254841684875568</v>
      </c>
      <c r="C69" s="1">
        <f>_xlfn.NORM.S.DIST(((A69)-'2_全半壊率'!$G$3)/'2_全半壊率'!$H$3, TRUE)</f>
        <v>0.50544140397564685</v>
      </c>
      <c r="D69" s="1">
        <f>_xlfn.NORM.S.DIST(((A69)-'3_一部損壊以上率'!$G$3)/'3_一部損壊以上率'!$H$3, TRUE)</f>
        <v>0.73367964010543618</v>
      </c>
      <c r="E69" s="1">
        <f t="shared" si="2"/>
        <v>0.23254841684875568</v>
      </c>
      <c r="F69" s="1">
        <f t="shared" si="3"/>
        <v>0.27289298712689114</v>
      </c>
      <c r="G69" s="1">
        <f t="shared" si="0"/>
        <v>0.22823823612978933</v>
      </c>
      <c r="H69" s="1">
        <f t="shared" si="1"/>
        <v>0.26632035989456382</v>
      </c>
      <c r="I69" s="1">
        <f t="shared" si="4"/>
        <v>0.42605446944464853</v>
      </c>
    </row>
    <row r="70" spans="1:9" x14ac:dyDescent="0.4">
      <c r="A70" s="1">
        <v>6.5</v>
      </c>
      <c r="B70" s="1">
        <f>_xlfn.NORM.S.DIST(((A70)-'1_全損率'!$G$3)/'1_全損率'!$H$3, TRUE)</f>
        <v>0.23716551306161535</v>
      </c>
      <c r="C70" s="1">
        <f>_xlfn.NORM.S.DIST(((A70)-'2_全半壊率'!$G$3)/'2_全半壊率'!$H$3, TRUE)</f>
        <v>0.51551494171481227</v>
      </c>
      <c r="D70" s="1">
        <f>_xlfn.NORM.S.DIST(((A70)-'3_一部損壊以上率'!$G$3)/'3_一部損壊以上率'!$H$3, TRUE)</f>
        <v>0.74229920549753559</v>
      </c>
      <c r="E70" s="1">
        <f t="shared" si="2"/>
        <v>0.23716551306161535</v>
      </c>
      <c r="F70" s="1">
        <f t="shared" si="3"/>
        <v>0.2783494286531969</v>
      </c>
      <c r="G70" s="1">
        <f>D70-C70</f>
        <v>0.22678426378272332</v>
      </c>
      <c r="H70" s="1">
        <f>1-D70</f>
        <v>0.25770079450246441</v>
      </c>
      <c r="I70" s="1">
        <f t="shared" si="4"/>
        <v>0.43303629333389465</v>
      </c>
    </row>
    <row r="71" spans="1:9" x14ac:dyDescent="0.4">
      <c r="A71" s="1">
        <v>6.6</v>
      </c>
      <c r="B71" s="1">
        <f>_xlfn.NORM.S.DIST(((A71)-'1_全損率'!$G$3)/'1_全損率'!$H$3, TRUE)</f>
        <v>0.24183252485158252</v>
      </c>
      <c r="C71" s="1">
        <f>_xlfn.NORM.S.DIST(((A71)-'2_全半壊率'!$G$3)/'2_全半壊率'!$H$3, TRUE)</f>
        <v>0.52557858644211852</v>
      </c>
      <c r="D71" s="1">
        <f>_xlfn.NORM.S.DIST(((A71)-'3_一部損壊以上率'!$G$3)/'3_一部損壊以上率'!$H$3, TRUE)</f>
        <v>0.7507716430903838</v>
      </c>
      <c r="E71" s="1">
        <f t="shared" ref="E71:E134" si="5">B71</f>
        <v>0.24183252485158252</v>
      </c>
      <c r="F71" s="1">
        <f t="shared" ref="F71:F134" si="6">C71-B71</f>
        <v>0.283746061590536</v>
      </c>
      <c r="G71" s="1">
        <f t="shared" ref="G71:G134" si="7">D71-C71</f>
        <v>0.22519305664826528</v>
      </c>
      <c r="H71" s="1">
        <f t="shared" ref="H71:H134" si="8">1-D71</f>
        <v>0.2492283569096162</v>
      </c>
      <c r="I71" s="1">
        <f t="shared" ref="I71:I134" si="9">E71*$B$3+F71*$C$3+G71*$D$3+H71*0</f>
        <v>0.44000381980891679</v>
      </c>
    </row>
    <row r="72" spans="1:9" x14ac:dyDescent="0.4">
      <c r="A72" s="1">
        <v>6.7</v>
      </c>
      <c r="B72" s="1">
        <f>_xlfn.NORM.S.DIST(((A72)-'1_全損率'!$G$3)/'1_全損率'!$H$3, TRUE)</f>
        <v>0.24654892631795683</v>
      </c>
      <c r="C72" s="1">
        <f>_xlfn.NORM.S.DIST(((A72)-'2_全半壊率'!$G$3)/'2_全半壊率'!$H$3, TRUE)</f>
        <v>0.53562593528089397</v>
      </c>
      <c r="D72" s="1">
        <f>_xlfn.NORM.S.DIST(((A72)-'3_一部損壊以上率'!$G$3)/'3_一部損壊以上率'!$H$3, TRUE)</f>
        <v>0.75909363162134713</v>
      </c>
      <c r="E72" s="1">
        <f t="shared" si="5"/>
        <v>0.24654892631795683</v>
      </c>
      <c r="F72" s="1">
        <f t="shared" si="6"/>
        <v>0.28907700896293714</v>
      </c>
      <c r="G72" s="1">
        <f t="shared" si="7"/>
        <v>0.22346769634045316</v>
      </c>
      <c r="H72" s="1">
        <f t="shared" si="8"/>
        <v>0.24090636837865287</v>
      </c>
      <c r="I72" s="1">
        <f t="shared" si="9"/>
        <v>0.44695435488453872</v>
      </c>
    </row>
    <row r="73" spans="1:9" x14ac:dyDescent="0.4">
      <c r="A73" s="1">
        <v>6.8</v>
      </c>
      <c r="B73" s="1">
        <f>_xlfn.NORM.S.DIST(((A73)-'1_全損率'!$G$3)/'1_全損率'!$H$3, TRUE)</f>
        <v>0.25131416356511604</v>
      </c>
      <c r="C73" s="1">
        <f>_xlfn.NORM.S.DIST(((A73)-'2_全半壊率'!$G$3)/'2_全半壊率'!$H$3, TRUE)</f>
        <v>0.54565061649372359</v>
      </c>
      <c r="D73" s="1">
        <f>_xlfn.NORM.S.DIST(((A73)-'3_一部損壊以上率'!$G$3)/'3_一部損壊以上率'!$H$3, TRUE)</f>
        <v>0.76726211767530517</v>
      </c>
      <c r="E73" s="1">
        <f t="shared" si="5"/>
        <v>0.25131416356511604</v>
      </c>
      <c r="F73" s="1">
        <f t="shared" si="6"/>
        <v>0.29433645292860755</v>
      </c>
      <c r="G73" s="1">
        <f t="shared" si="7"/>
        <v>0.22161150118158157</v>
      </c>
      <c r="H73" s="1">
        <f t="shared" si="8"/>
        <v>0.23273788232469483</v>
      </c>
      <c r="I73" s="1">
        <f t="shared" si="9"/>
        <v>0.45388526532481521</v>
      </c>
    </row>
    <row r="74" spans="1:9" x14ac:dyDescent="0.4">
      <c r="A74" s="1">
        <v>6.9</v>
      </c>
      <c r="B74" s="1">
        <f>_xlfn.NORM.S.DIST(((A74)-'1_全損率'!$G$3)/'1_全損率'!$H$3, TRUE)</f>
        <v>0.25612765478674687</v>
      </c>
      <c r="C74" s="1">
        <f>_xlfn.NORM.S.DIST(((A74)-'2_全半壊率'!$G$3)/'2_全半壊率'!$H$3, TRUE)</f>
        <v>0.5556463016019173</v>
      </c>
      <c r="D74" s="1">
        <f>_xlfn.NORM.S.DIST(((A74)-'3_一部損壊以上率'!$G$3)/'3_一部損壊以上率'!$H$3, TRUE)</f>
        <v>0.77527431719405049</v>
      </c>
      <c r="E74" s="1">
        <f t="shared" si="5"/>
        <v>0.25612765478674687</v>
      </c>
      <c r="F74" s="1">
        <f t="shared" si="6"/>
        <v>0.29951864681517043</v>
      </c>
      <c r="G74" s="1">
        <f t="shared" si="7"/>
        <v>0.21962801559213319</v>
      </c>
      <c r="H74" s="1">
        <f t="shared" si="8"/>
        <v>0.22472568280594951</v>
      </c>
      <c r="I74" s="1">
        <f t="shared" si="9"/>
        <v>0.46079398209236533</v>
      </c>
    </row>
    <row r="75" spans="1:9" x14ac:dyDescent="0.4">
      <c r="A75" s="1">
        <v>7</v>
      </c>
      <c r="B75" s="1">
        <f>_xlfn.NORM.S.DIST(((A75)-'1_全損率'!$G$3)/'1_全損率'!$H$3, TRUE)</f>
        <v>0.26098879037629297</v>
      </c>
      <c r="C75" s="1">
        <f>_xlfn.NORM.S.DIST(((A75)-'2_全半壊率'!$G$3)/'2_全半壊率'!$H$3, TRUE)</f>
        <v>0.56560671736741419</v>
      </c>
      <c r="D75" s="1">
        <f>_xlfn.NORM.S.DIST(((A75)-'3_一部損壊以上率'!$G$3)/'3_一部損壊以上率'!$H$3, TRUE)</f>
        <v>0.78312771621036015</v>
      </c>
      <c r="E75" s="1">
        <f t="shared" si="5"/>
        <v>0.26098879037629297</v>
      </c>
      <c r="F75" s="1">
        <f t="shared" si="6"/>
        <v>0.30461792699112122</v>
      </c>
      <c r="G75" s="1">
        <f t="shared" si="7"/>
        <v>0.21752099884294596</v>
      </c>
      <c r="H75" s="1">
        <f t="shared" si="8"/>
        <v>0.21687228378963985</v>
      </c>
      <c r="I75" s="1">
        <f t="shared" si="9"/>
        <v>0.46767800358259004</v>
      </c>
    </row>
    <row r="76" spans="1:9" x14ac:dyDescent="0.4">
      <c r="A76" s="1">
        <v>7.1</v>
      </c>
      <c r="B76" s="1">
        <f>_xlfn.NORM.S.DIST(((A76)-'1_全損率'!$G$3)/'1_全損率'!$H$3, TRUE)</f>
        <v>0.26589693306376483</v>
      </c>
      <c r="C76" s="1">
        <f>_xlfn.NORM.S.DIST(((A76)-'2_全半壊率'!$G$3)/'2_全半壊率'!$H$3, TRUE)</f>
        <v>0.57552565759932928</v>
      </c>
      <c r="D76" s="1">
        <f>_xlfn.NORM.S.DIST(((A76)-'3_一部損壊以上率'!$G$3)/'3_一部損壊以上率'!$H$3, TRUE)</f>
        <v>0.79082007081875816</v>
      </c>
      <c r="E76" s="1">
        <f t="shared" si="5"/>
        <v>0.26589693306376483</v>
      </c>
      <c r="F76" s="1">
        <f t="shared" si="6"/>
        <v>0.30962872453556445</v>
      </c>
      <c r="G76" s="1">
        <f t="shared" si="7"/>
        <v>0.21529441321942888</v>
      </c>
      <c r="H76" s="1">
        <f t="shared" si="8"/>
        <v>0.20917992918124184</v>
      </c>
      <c r="I76" s="1">
        <f t="shared" si="9"/>
        <v>0.4745348986364043</v>
      </c>
    </row>
    <row r="77" spans="1:9" x14ac:dyDescent="0.4">
      <c r="A77" s="1">
        <v>7.2</v>
      </c>
      <c r="B77" s="1">
        <f>_xlfn.NORM.S.DIST(((A77)-'1_全損率'!$G$3)/'1_全損率'!$H$3, TRUE)</f>
        <v>0.27085141807901841</v>
      </c>
      <c r="C77" s="1">
        <f>_xlfn.NORM.S.DIST(((A77)-'2_全半壊率'!$G$3)/'2_全半壊率'!$H$3, TRUE)</f>
        <v>0.58539699474811879</v>
      </c>
      <c r="D77" s="1">
        <f>_xlfn.NORM.S.DIST(((A77)-'3_一部損壊以上率'!$G$3)/'3_一部損壊以上率'!$H$3, TRUE)</f>
        <v>0.79834940639793028</v>
      </c>
      <c r="E77" s="1">
        <f t="shared" si="5"/>
        <v>0.27085141807901841</v>
      </c>
      <c r="F77" s="1">
        <f t="shared" si="6"/>
        <v>0.31454557666910038</v>
      </c>
      <c r="G77" s="1">
        <f t="shared" si="7"/>
        <v>0.21295241164981149</v>
      </c>
      <c r="H77" s="1">
        <f t="shared" si="8"/>
        <v>0.20165059360206972</v>
      </c>
      <c r="I77" s="1">
        <f t="shared" si="9"/>
        <v>0.48136230932602153</v>
      </c>
    </row>
    <row r="78" spans="1:9" x14ac:dyDescent="0.4">
      <c r="A78" s="1">
        <v>7.3</v>
      </c>
      <c r="B78" s="1">
        <f>_xlfn.NORM.S.DIST(((A78)-'1_全損率'!$G$3)/'1_全損率'!$H$3, TRUE)</f>
        <v>0.27585155334157729</v>
      </c>
      <c r="C78" s="1">
        <f>_xlfn.NORM.S.DIST(((A78)-'2_全半壊率'!$G$3)/'2_全半壊率'!$H$3, TRUE)</f>
        <v>0.5952146912512879</v>
      </c>
      <c r="D78" s="1">
        <f>_xlfn.NORM.S.DIST(((A78)-'3_一部損壊以上率'!$G$3)/'3_一部損壊以上率'!$H$3, TRUE)</f>
        <v>0.80571401610257398</v>
      </c>
      <c r="E78" s="1">
        <f t="shared" si="5"/>
        <v>0.27585155334157729</v>
      </c>
      <c r="F78" s="1">
        <f t="shared" si="6"/>
        <v>0.3193631379097106</v>
      </c>
      <c r="G78" s="1">
        <f t="shared" si="7"/>
        <v>0.21049932485128608</v>
      </c>
      <c r="H78" s="1">
        <f t="shared" si="8"/>
        <v>0.19428598389742602</v>
      </c>
      <c r="I78" s="1">
        <f t="shared" si="9"/>
        <v>0.48815795350925412</v>
      </c>
    </row>
    <row r="79" spans="1:9" x14ac:dyDescent="0.4">
      <c r="A79" s="1">
        <v>7.4</v>
      </c>
      <c r="B79" s="1">
        <f>_xlfn.NORM.S.DIST(((A79)-'1_全損率'!$G$3)/'1_全損率'!$H$3, TRUE)</f>
        <v>0.2808966196770365</v>
      </c>
      <c r="C79" s="1">
        <f>_xlfn.NORM.S.DIST(((A79)-'2_全半壊率'!$G$3)/'2_全半壊率'!$H$3, TRUE)</f>
        <v>0.60497281059566232</v>
      </c>
      <c r="D79" s="1">
        <f>_xlfn.NORM.S.DIST(((A79)-'3_一部損壊以上率'!$G$3)/'3_一部損壊以上率'!$H$3, TRUE)</f>
        <v>0.81291245864513195</v>
      </c>
      <c r="E79" s="1">
        <f t="shared" si="5"/>
        <v>0.2808966196770365</v>
      </c>
      <c r="F79" s="1">
        <f t="shared" si="6"/>
        <v>0.32407619091862583</v>
      </c>
      <c r="G79" s="1">
        <f t="shared" si="7"/>
        <v>0.20793964804946963</v>
      </c>
      <c r="H79" s="1">
        <f t="shared" si="8"/>
        <v>0.18708754135486805</v>
      </c>
      <c r="I79" s="1">
        <f t="shared" si="9"/>
        <v>0.49491962714871685</v>
      </c>
    </row>
    <row r="80" spans="1:9" x14ac:dyDescent="0.4">
      <c r="A80" s="1">
        <v>7.5</v>
      </c>
      <c r="B80" s="1">
        <f>_xlfn.NORM.S.DIST(((A80)-'1_全損率'!$G$3)/'1_全損率'!$H$3, TRUE)</f>
        <v>0.28598587106005058</v>
      </c>
      <c r="C80" s="1">
        <f>_xlfn.NORM.S.DIST(((A80)-'2_全半壊率'!$G$3)/'2_全半壊率'!$H$3, TRUE)</f>
        <v>0.61466552806249219</v>
      </c>
      <c r="D80" s="1">
        <f>_xlfn.NORM.S.DIST(((A80)-'3_一部損壊以上率'!$G$3)/'3_一部損壊以上率'!$H$3, TRUE)</f>
        <v>0.81994355539038188</v>
      </c>
      <c r="E80" s="1">
        <f t="shared" si="5"/>
        <v>0.28598587106005058</v>
      </c>
      <c r="F80" s="1">
        <f t="shared" si="6"/>
        <v>0.32867965700244162</v>
      </c>
      <c r="G80" s="1">
        <f t="shared" si="7"/>
        <v>0.20527802732788969</v>
      </c>
      <c r="H80" s="1">
        <f t="shared" si="8"/>
        <v>0.18005644460961812</v>
      </c>
      <c r="I80" s="1">
        <f t="shared" si="9"/>
        <v>0.50164520639324384</v>
      </c>
    </row>
    <row r="81" spans="1:9" x14ac:dyDescent="0.4">
      <c r="A81" s="1">
        <v>7.6</v>
      </c>
      <c r="B81" s="1">
        <f>_xlfn.NORM.S.DIST(((A81)-'1_全損率'!$G$3)/'1_全損率'!$H$3, TRUE)</f>
        <v>0.29111853488387057</v>
      </c>
      <c r="C81" s="1">
        <f>_xlfn.NORM.S.DIST(((A81)-'2_全半壊率'!$G$3)/'2_全半壊率'!$H$3, TRUE)</f>
        <v>0.62428714112305406</v>
      </c>
      <c r="D81" s="1">
        <f>_xlfn.NORM.S.DIST(((A81)-'3_一部損壊以上率'!$G$3)/'3_一部損壊以上率'!$H$3, TRUE)</f>
        <v>0.82680638678820295</v>
      </c>
      <c r="E81" s="1">
        <f t="shared" si="5"/>
        <v>0.29111853488387057</v>
      </c>
      <c r="F81" s="1">
        <f t="shared" si="6"/>
        <v>0.33316860623918348</v>
      </c>
      <c r="G81" s="1">
        <f t="shared" si="7"/>
        <v>0.20251924566514889</v>
      </c>
      <c r="H81" s="1">
        <f t="shared" si="8"/>
        <v>0.17319361321179705</v>
      </c>
      <c r="I81" s="1">
        <f t="shared" si="9"/>
        <v>0.50833264941974954</v>
      </c>
    </row>
    <row r="82" spans="1:9" x14ac:dyDescent="0.4">
      <c r="A82" s="1">
        <v>7.7</v>
      </c>
      <c r="B82" s="1">
        <f>_xlfn.NORM.S.DIST(((A82)-'1_全損率'!$G$3)/'1_全損率'!$H$3, TRUE)</f>
        <v>0.29629381225636264</v>
      </c>
      <c r="C82" s="1">
        <f>_xlfn.NORM.S.DIST(((A82)-'2_全半壊率'!$G$3)/'2_全半壊率'!$H$3, TRUE)</f>
        <v>0.63383207945394104</v>
      </c>
      <c r="D82" s="1">
        <f>_xlfn.NORM.S.DIST(((A82)-'3_一部損壊以上率'!$G$3)/'3_一部損壊以上率'!$H$3, TRUE)</f>
        <v>0.83350028817202071</v>
      </c>
      <c r="E82" s="1">
        <f t="shared" si="5"/>
        <v>0.29629381225636264</v>
      </c>
      <c r="F82" s="1">
        <f t="shared" si="6"/>
        <v>0.3375382671975784</v>
      </c>
      <c r="G82" s="1">
        <f t="shared" si="7"/>
        <v>0.19966820871807966</v>
      </c>
      <c r="H82" s="1">
        <f t="shared" si="8"/>
        <v>0.16649971182797929</v>
      </c>
      <c r="I82" s="1">
        <f t="shared" si="9"/>
        <v>0.51497999803467176</v>
      </c>
    </row>
    <row r="83" spans="1:9" x14ac:dyDescent="0.4">
      <c r="A83" s="1">
        <v>7.8</v>
      </c>
      <c r="B83" s="1">
        <f>_xlfn.NORM.S.DIST(((A83)-'1_全損率'!$G$3)/'1_全損率'!$H$3, TRUE)</f>
        <v>0.30151087832239876</v>
      </c>
      <c r="C83" s="1">
        <f>_xlfn.NORM.S.DIST(((A83)-'2_全半壊率'!$G$3)/'2_全半壊率'!$H$3, TRUE)</f>
        <v>0.64329491454289245</v>
      </c>
      <c r="D83" s="1">
        <f>_xlfn.NORM.S.DIST(((A83)-'3_一部損壊以上率'!$G$3)/'3_一部損壊以上率'!$H$3, TRUE)</f>
        <v>0.8400248449524208</v>
      </c>
      <c r="E83" s="1">
        <f t="shared" si="5"/>
        <v>0.30151087832239876</v>
      </c>
      <c r="F83" s="1">
        <f t="shared" si="6"/>
        <v>0.34178403622049369</v>
      </c>
      <c r="G83" s="1">
        <f t="shared" si="7"/>
        <v>0.19672993040952835</v>
      </c>
      <c r="H83" s="1">
        <f t="shared" si="8"/>
        <v>0.1599751550475792</v>
      </c>
      <c r="I83" s="1">
        <f t="shared" si="9"/>
        <v>0.52158537903502766</v>
      </c>
    </row>
    <row r="84" spans="1:9" x14ac:dyDescent="0.4">
      <c r="A84" s="1">
        <v>7.9</v>
      </c>
      <c r="B84" s="1">
        <f>_xlfn.NORM.S.DIST(((A84)-'1_全損率'!$G$3)/'1_全損率'!$H$3, TRUE)</f>
        <v>0.30676888261247687</v>
      </c>
      <c r="C84" s="1">
        <f>_xlfn.NORM.S.DIST(((A84)-'2_全半壊率'!$G$3)/'2_全半壊率'!$H$3, TRUE)</f>
        <v>0.65267036885778607</v>
      </c>
      <c r="D84" s="1">
        <f>_xlfn.NORM.S.DIST(((A84)-'3_一部損壊以上率'!$G$3)/'3_一部損壊以上率'!$H$3, TRUE)</f>
        <v>0.84637988723723523</v>
      </c>
      <c r="E84" s="1">
        <f t="shared" si="5"/>
        <v>0.30676888261247687</v>
      </c>
      <c r="F84" s="1">
        <f t="shared" si="6"/>
        <v>0.3459014862453092</v>
      </c>
      <c r="G84" s="1">
        <f t="shared" si="7"/>
        <v>0.19370951837944916</v>
      </c>
      <c r="H84" s="1">
        <f t="shared" si="8"/>
        <v>0.15362011276276477</v>
      </c>
      <c r="I84" s="1">
        <f t="shared" si="9"/>
        <v>0.52814700532999381</v>
      </c>
    </row>
    <row r="85" spans="1:9" x14ac:dyDescent="0.4">
      <c r="A85" s="1">
        <v>8</v>
      </c>
      <c r="B85" s="1">
        <f>_xlfn.NORM.S.DIST(((A85)-'1_全損率'!$G$3)/'1_全損率'!$H$3, TRUE)</f>
        <v>0.31206694941739055</v>
      </c>
      <c r="C85" s="1">
        <f>_xlfn.NORM.S.DIST(((A85)-'2_全半壊率'!$G$3)/'2_全半壊率'!$H$3, TRUE)</f>
        <v>0.66195332455329736</v>
      </c>
      <c r="D85" s="1">
        <f>_xlfn.NORM.S.DIST(((A85)-'3_一部損壊以上率'!$G$3)/'3_一部損壊以上率'!$H$3, TRUE)</f>
        <v>0.85256548391100351</v>
      </c>
      <c r="E85" s="1">
        <f t="shared" si="5"/>
        <v>0.31206694941739055</v>
      </c>
      <c r="F85" s="1">
        <f t="shared" si="6"/>
        <v>0.34988637513590681</v>
      </c>
      <c r="G85" s="1">
        <f t="shared" si="7"/>
        <v>0.19061215935770615</v>
      </c>
      <c r="H85" s="1">
        <f t="shared" si="8"/>
        <v>0.14743451608899649</v>
      </c>
      <c r="I85" s="1">
        <f t="shared" si="9"/>
        <v>0.53466317682477049</v>
      </c>
    </row>
    <row r="86" spans="1:9" x14ac:dyDescent="0.4">
      <c r="A86" s="1">
        <v>8.1</v>
      </c>
      <c r="B86" s="1">
        <f>_xlfn.NORM.S.DIST(((A86)-'1_全損率'!$G$3)/'1_全損率'!$H$3, TRUE)</f>
        <v>0.31740417818873012</v>
      </c>
      <c r="C86" s="1">
        <f>_xlfn.NORM.S.DIST(((A86)-'2_全半壊率'!$G$3)/'2_全半壊率'!$H$3, TRUE)</f>
        <v>0.67113883169171529</v>
      </c>
      <c r="D86" s="1">
        <f>_xlfn.NORM.S.DIST(((A86)-'3_一部損壊以上率'!$G$3)/'3_一部損壊以上率'!$H$3, TRUE)</f>
        <v>0.85858193620813006</v>
      </c>
      <c r="E86" s="1">
        <f t="shared" si="5"/>
        <v>0.31740417818873012</v>
      </c>
      <c r="F86" s="1">
        <f t="shared" si="6"/>
        <v>0.35373465350298516</v>
      </c>
      <c r="G86" s="1">
        <f t="shared" si="7"/>
        <v>0.18744310451641477</v>
      </c>
      <c r="H86" s="1">
        <f t="shared" si="8"/>
        <v>0.14141806379186994</v>
      </c>
      <c r="I86" s="1">
        <f t="shared" si="9"/>
        <v>0.54113228106932643</v>
      </c>
    </row>
    <row r="87" spans="1:9" x14ac:dyDescent="0.4">
      <c r="A87" s="1">
        <v>8.1999999999999993</v>
      </c>
      <c r="B87" s="1">
        <f>_xlfn.NORM.S.DIST(((A87)-'1_全損率'!$G$3)/'1_全損率'!$H$3, TRUE)</f>
        <v>0.32277964396496062</v>
      </c>
      <c r="C87" s="1">
        <f>_xlfn.NORM.S.DIST(((A87)-'2_全半壊率'!$G$3)/'2_全半壊率'!$H$3, TRUE)</f>
        <v>0.68022211595646542</v>
      </c>
      <c r="D87" s="1">
        <f>_xlfn.NORM.S.DIST(((A87)-'3_一部損壊以上率'!$G$3)/'3_一部損壊以上率'!$H$3, TRUE)</f>
        <v>0.86442977081526196</v>
      </c>
      <c r="E87" s="1">
        <f t="shared" si="5"/>
        <v>0.32277964396496062</v>
      </c>
      <c r="F87" s="1">
        <f t="shared" si="6"/>
        <v>0.35744247199150481</v>
      </c>
      <c r="G87" s="1">
        <f t="shared" si="7"/>
        <v>0.18420765485879653</v>
      </c>
      <c r="H87" s="1">
        <f t="shared" si="8"/>
        <v>0.13557022918473804</v>
      </c>
      <c r="I87" s="1">
        <f t="shared" si="9"/>
        <v>0.5475527936754121</v>
      </c>
    </row>
    <row r="88" spans="1:9" x14ac:dyDescent="0.4">
      <c r="A88" s="1">
        <v>8.3000000000000007</v>
      </c>
      <c r="B88" s="1">
        <f>_xlfn.NORM.S.DIST(((A88)-'1_全損率'!$G$3)/'1_全損率'!$H$3, TRUE)</f>
        <v>0.32819239782278653</v>
      </c>
      <c r="C88" s="1">
        <f>_xlfn.NORM.S.DIST(((A88)-'2_全半壊率'!$G$3)/'2_全半壊率'!$H$3, TRUE)</f>
        <v>0.68919858583903737</v>
      </c>
      <c r="D88" s="1">
        <f>_xlfn.NORM.S.DIST(((A88)-'3_一部損壊以上率'!$G$3)/'3_一部損壊以上率'!$H$3, TRUE)</f>
        <v>0.87010973253941493</v>
      </c>
      <c r="E88" s="1">
        <f t="shared" si="5"/>
        <v>0.32819239782278653</v>
      </c>
      <c r="F88" s="1">
        <f t="shared" si="6"/>
        <v>0.36100618801625084</v>
      </c>
      <c r="G88" s="1">
        <f t="shared" si="7"/>
        <v>0.18091114670037756</v>
      </c>
      <c r="H88" s="1">
        <f t="shared" si="8"/>
        <v>0.12989026746058507</v>
      </c>
      <c r="I88" s="1">
        <f t="shared" si="9"/>
        <v>0.55392327850600631</v>
      </c>
    </row>
    <row r="89" spans="1:9" x14ac:dyDescent="0.4">
      <c r="A89" s="1">
        <v>8.3999999999999897</v>
      </c>
      <c r="B89" s="1">
        <f>_xlfn.NORM.S.DIST(((A89)-'1_全損率'!$G$3)/'1_全損率'!$H$3, TRUE)</f>
        <v>0.33364146735347389</v>
      </c>
      <c r="C89" s="1">
        <f>_xlfn.NORM.S.DIST(((A89)-'2_全半壊率'!$G$3)/'2_全半壊率'!$H$3, TRUE)</f>
        <v>0.69806383928221893</v>
      </c>
      <c r="D89" s="1">
        <f>_xlfn.NORM.S.DIST(((A89)-'3_一部損壊以上率'!$G$3)/'3_一部損壊以上率'!$H$3, TRUE)</f>
        <v>0.87562277657917986</v>
      </c>
      <c r="E89" s="1">
        <f t="shared" si="5"/>
        <v>0.33364146735347389</v>
      </c>
      <c r="F89" s="1">
        <f t="shared" si="6"/>
        <v>0.36442237192874505</v>
      </c>
      <c r="G89" s="1">
        <f t="shared" si="7"/>
        <v>0.17755893729696093</v>
      </c>
      <c r="H89" s="1">
        <f t="shared" si="8"/>
        <v>0.12437722342082014</v>
      </c>
      <c r="I89" s="1">
        <f t="shared" si="9"/>
        <v>0.56024238764208667</v>
      </c>
    </row>
    <row r="90" spans="1:9" x14ac:dyDescent="0.4">
      <c r="A90" s="1">
        <v>8.4999999999999893</v>
      </c>
      <c r="B90" s="1">
        <f>_xlfn.NORM.S.DIST(((A90)-'1_全損率'!$G$3)/'1_全損率'!$H$3, TRUE)</f>
        <v>0.3391258571637713</v>
      </c>
      <c r="C90" s="1">
        <f>_xlfn.NORM.S.DIST(((A90)-'2_全半壊率'!$G$3)/'2_全半壊率'!$H$3, TRUE)</f>
        <v>0.7068136697648032</v>
      </c>
      <c r="D90" s="1">
        <f>_xlfn.NORM.S.DIST(((A90)-'3_一部損壊以上率'!$G$3)/'3_一部損壊以上率'!$H$3, TRUE)</f>
        <v>0.88097006043693882</v>
      </c>
      <c r="E90" s="1">
        <f t="shared" si="5"/>
        <v>0.3391258571637713</v>
      </c>
      <c r="F90" s="1">
        <f t="shared" si="6"/>
        <v>0.36768781260103189</v>
      </c>
      <c r="G90" s="1">
        <f t="shared" si="7"/>
        <v>0.17415639067213562</v>
      </c>
      <c r="H90" s="1">
        <f t="shared" si="8"/>
        <v>0.11902993956306118</v>
      </c>
      <c r="I90" s="1">
        <f t="shared" si="9"/>
        <v>0.56650886113232113</v>
      </c>
    </row>
    <row r="91" spans="1:9" x14ac:dyDescent="0.4">
      <c r="A91" s="1">
        <v>8.5999999999999908</v>
      </c>
      <c r="B91" s="1">
        <f>_xlfn.NORM.S.DIST(((A91)-'1_全損率'!$G$3)/'1_全損率'!$H$3, TRUE)</f>
        <v>0.34464454940101974</v>
      </c>
      <c r="C91" s="1">
        <f>_xlfn.NORM.S.DIST(((A91)-'2_全半壊率'!$G$3)/'2_全半壊率'!$H$3, TRUE)</f>
        <v>0.71544407181521485</v>
      </c>
      <c r="D91" s="1">
        <f>_xlfn.NORM.S.DIST(((A91)-'3_一部損壊以上率'!$G$3)/'3_一部損壊以上率'!$H$3, TRUE)</f>
        <v>0.88615293551040863</v>
      </c>
      <c r="E91" s="1">
        <f t="shared" si="5"/>
        <v>0.34464454940101974</v>
      </c>
      <c r="F91" s="1">
        <f t="shared" si="6"/>
        <v>0.37079952241419512</v>
      </c>
      <c r="G91" s="1">
        <f t="shared" si="7"/>
        <v>0.17070886369519378</v>
      </c>
      <c r="H91" s="1">
        <f t="shared" si="8"/>
        <v>0.11384706448959137</v>
      </c>
      <c r="I91" s="1">
        <f t="shared" si="9"/>
        <v>0.57272152653191577</v>
      </c>
    </row>
    <row r="92" spans="1:9" x14ac:dyDescent="0.4">
      <c r="A92" s="1">
        <v>8.6999999999999904</v>
      </c>
      <c r="B92" s="1">
        <f>_xlfn.NORM.S.DIST(((A92)-'1_全損率'!$G$3)/'1_全損率'!$H$3, TRUE)</f>
        <v>0.35019650430202698</v>
      </c>
      <c r="C92" s="1">
        <f>_xlfn.NORM.S.DIST(((A92)-'2_全半壊率'!$G$3)/'2_全半壊率'!$H$3, TRUE)</f>
        <v>0.72395124594385785</v>
      </c>
      <c r="D92" s="1">
        <f>_xlfn.NORM.S.DIST(((A92)-'3_一部損壊以上率'!$G$3)/'3_一部損壊以上率'!$H$3, TRUE)</f>
        <v>0.89117293840204992</v>
      </c>
      <c r="E92" s="1">
        <f t="shared" si="5"/>
        <v>0.35019650430202698</v>
      </c>
      <c r="F92" s="1">
        <f t="shared" si="6"/>
        <v>0.37375474164183087</v>
      </c>
      <c r="G92" s="1">
        <f t="shared" si="7"/>
        <v>0.16722169245819207</v>
      </c>
      <c r="H92" s="1">
        <f t="shared" si="8"/>
        <v>0.10882706159795008</v>
      </c>
      <c r="I92" s="1">
        <f t="shared" si="9"/>
        <v>0.57887929823749051</v>
      </c>
    </row>
    <row r="93" spans="1:9" x14ac:dyDescent="0.4">
      <c r="A93" s="1">
        <v>8.7999999999999901</v>
      </c>
      <c r="B93" s="1">
        <f>_xlfn.NORM.S.DIST(((A93)-'1_全損率'!$G$3)/'1_全損率'!$H$3, TRUE)</f>
        <v>0.35578066076523018</v>
      </c>
      <c r="C93" s="1">
        <f>_xlfn.NORM.S.DIST(((A93)-'2_全半壊率'!$G$3)/'2_全半壊率'!$H$3, TRUE)</f>
        <v>0.73233160298630473</v>
      </c>
      <c r="D93" s="1">
        <f>_xlfn.NORM.S.DIST(((A93)-'3_一部損壊以上率'!$G$3)/'3_一部損壊以上率'!$H$3, TRUE)</f>
        <v>0.89603178198487021</v>
      </c>
      <c r="E93" s="1">
        <f t="shared" si="5"/>
        <v>0.35578066076523018</v>
      </c>
      <c r="F93" s="1">
        <f t="shared" si="6"/>
        <v>0.37655094222107455</v>
      </c>
      <c r="G93" s="1">
        <f t="shared" si="7"/>
        <v>0.16370017899856548</v>
      </c>
      <c r="H93" s="1">
        <f t="shared" si="8"/>
        <v>0.10396821801512979</v>
      </c>
      <c r="I93" s="1">
        <f t="shared" si="9"/>
        <v>0.58498117662540894</v>
      </c>
    </row>
    <row r="94" spans="1:9" x14ac:dyDescent="0.4">
      <c r="A94" s="1">
        <v>8.8999999999999897</v>
      </c>
      <c r="B94" s="1">
        <f>_xlfn.NORM.S.DIST(((A94)-'1_全損率'!$G$3)/'1_全損率'!$H$3, TRUE)</f>
        <v>0.36139593694564187</v>
      </c>
      <c r="C94" s="1">
        <f>_xlfn.NORM.S.DIST(((A94)-'2_全半壊率'!$G$3)/'2_全半壊率'!$H$3, TRUE)</f>
        <v>0.7405817678518003</v>
      </c>
      <c r="D94" s="1">
        <f>_xlfn.NORM.S.DIST(((A94)-'3_一部損壊以上率'!$G$3)/'3_一部損壊以上率'!$H$3, TRUE)</f>
        <v>0.90073134626298179</v>
      </c>
      <c r="E94" s="1">
        <f t="shared" si="5"/>
        <v>0.36139593694564187</v>
      </c>
      <c r="F94" s="1">
        <f t="shared" si="6"/>
        <v>0.37918583090615843</v>
      </c>
      <c r="G94" s="1">
        <f t="shared" si="7"/>
        <v>0.16014957841118149</v>
      </c>
      <c r="H94" s="1">
        <f t="shared" si="8"/>
        <v>9.9268653737018209E-2</v>
      </c>
      <c r="I94" s="1">
        <f t="shared" si="9"/>
        <v>0.5910262470015164</v>
      </c>
    </row>
    <row r="95" spans="1:9" x14ac:dyDescent="0.4">
      <c r="A95" s="1">
        <v>8.9999999999999893</v>
      </c>
      <c r="B95" s="1">
        <f>_xlfn.NORM.S.DIST(((A95)-'1_全損率'!$G$3)/'1_全損率'!$H$3, TRUE)</f>
        <v>0.36704123087204121</v>
      </c>
      <c r="C95" s="1">
        <f>_xlfn.NORM.S.DIST(((A95)-'2_全半壊率'!$G$3)/'2_全半壊率'!$H$3, TRUE)</f>
        <v>0.74869858267389544</v>
      </c>
      <c r="D95" s="1">
        <f>_xlfn.NORM.S.DIST(((A95)-'3_一部損壊以上率'!$G$3)/'3_一部損壊以上率'!$H$3, TRUE)</f>
        <v>0.90527366906491835</v>
      </c>
      <c r="E95" s="1">
        <f t="shared" si="5"/>
        <v>0.36704123087204121</v>
      </c>
      <c r="F95" s="1">
        <f t="shared" si="6"/>
        <v>0.38165735180185423</v>
      </c>
      <c r="G95" s="1">
        <f t="shared" si="7"/>
        <v>0.15657508639102291</v>
      </c>
      <c r="H95" s="1">
        <f t="shared" si="8"/>
        <v>9.4726330935081648E-2</v>
      </c>
      <c r="I95" s="1">
        <f t="shared" si="9"/>
        <v>0.59701367837072405</v>
      </c>
    </row>
    <row r="96" spans="1:9" x14ac:dyDescent="0.4">
      <c r="A96" s="1">
        <v>9.0999999999999908</v>
      </c>
      <c r="B96" s="1">
        <f>_xlfn.NORM.S.DIST(((A96)-'1_全損率'!$G$3)/'1_全損率'!$H$3, TRUE)</f>
        <v>0.37271542108583822</v>
      </c>
      <c r="C96" s="1">
        <f>_xlfn.NORM.S.DIST(((A96)-'2_全半壊率'!$G$3)/'2_全半壊率'!$H$3, TRUE)</f>
        <v>0.75667910936233951</v>
      </c>
      <c r="D96" s="1">
        <f>_xlfn.NORM.S.DIST(((A96)-'3_一部損壊以上率'!$G$3)/'3_一部損壊以上率'!$H$3, TRUE)</f>
        <v>0.90966093660718383</v>
      </c>
      <c r="E96" s="1">
        <f t="shared" si="5"/>
        <v>0.37271542108583822</v>
      </c>
      <c r="F96" s="1">
        <f t="shared" si="6"/>
        <v>0.38396368827650129</v>
      </c>
      <c r="G96" s="1">
        <f t="shared" si="7"/>
        <v>0.15298182724484433</v>
      </c>
      <c r="H96" s="1">
        <f t="shared" si="8"/>
        <v>9.0339063392816166E-2</v>
      </c>
      <c r="I96" s="1">
        <f t="shared" si="9"/>
        <v>0.60294272203529997</v>
      </c>
    </row>
    <row r="97" spans="1:9" x14ac:dyDescent="0.4">
      <c r="A97" s="1">
        <v>9.1999999999999904</v>
      </c>
      <c r="B97" s="1">
        <f>_xlfn.NORM.S.DIST(((A97)-'1_全損率'!$G$3)/'1_全損率'!$H$3, TRUE)</f>
        <v>0.37841736730100495</v>
      </c>
      <c r="C97" s="1">
        <f>_xlfn.NORM.S.DIST(((A97)-'2_全半壊率'!$G$3)/'2_全半壊率'!$H$3, TRUE)</f>
        <v>0.76452063155764471</v>
      </c>
      <c r="D97" s="1">
        <f>_xlfn.NORM.S.DIST(((A97)-'3_一部損壊以上率'!$G$3)/'3_一部損壊以上率'!$H$3, TRUE)</f>
        <v>0.91389547396481485</v>
      </c>
      <c r="E97" s="1">
        <f t="shared" si="5"/>
        <v>0.37841736730100495</v>
      </c>
      <c r="F97" s="1">
        <f t="shared" si="6"/>
        <v>0.38610326425663977</v>
      </c>
      <c r="G97" s="1">
        <f t="shared" si="7"/>
        <v>0.14937484240717014</v>
      </c>
      <c r="H97" s="1">
        <f t="shared" si="8"/>
        <v>8.6104526035185147E-2</v>
      </c>
      <c r="I97" s="1">
        <f t="shared" si="9"/>
        <v>0.60881271003111737</v>
      </c>
    </row>
    <row r="98" spans="1:9" x14ac:dyDescent="0.4">
      <c r="A98" s="1">
        <v>9.2999999999999901</v>
      </c>
      <c r="B98" s="1">
        <f>_xlfn.NORM.S.DIST(((A98)-'1_全損率'!$G$3)/'1_全損率'!$H$3, TRUE)</f>
        <v>0.38414591108443769</v>
      </c>
      <c r="C98" s="1">
        <f>_xlfn.NORM.S.DIST(((A98)-'2_全半壊率'!$G$3)/'2_全半壊率'!$H$3, TRUE)</f>
        <v>0.77222065599198542</v>
      </c>
      <c r="D98" s="1">
        <f>_xlfn.NORM.S.DIST(((A98)-'3_一部損壊以上率'!$G$3)/'3_一部損壊以上率'!$H$3, TRUE)</f>
        <v>0.91797973548489487</v>
      </c>
      <c r="E98" s="1">
        <f t="shared" si="5"/>
        <v>0.38414591108443769</v>
      </c>
      <c r="F98" s="1">
        <f t="shared" si="6"/>
        <v>0.38807474490754773</v>
      </c>
      <c r="G98" s="1">
        <f t="shared" si="7"/>
        <v>0.14575907949290945</v>
      </c>
      <c r="H98" s="1">
        <f t="shared" si="8"/>
        <v>8.2020264515105135E-2</v>
      </c>
      <c r="I98" s="1">
        <f t="shared" si="9"/>
        <v>0.61462305341143897</v>
      </c>
    </row>
    <row r="99" spans="1:9" x14ac:dyDescent="0.4">
      <c r="A99" s="1">
        <v>9.3999999999999897</v>
      </c>
      <c r="B99" s="1">
        <f>_xlfn.NORM.S.DIST(((A99)-'1_全損率'!$G$3)/'1_全損率'!$H$3, TRUE)</f>
        <v>0.38989987655608183</v>
      </c>
      <c r="C99" s="1">
        <f>_xlfn.NORM.S.DIST(((A99)-'2_全半壊率'!$G$3)/'2_全半壊率'!$H$3, TRUE)</f>
        <v>0.77977691326227905</v>
      </c>
      <c r="D99" s="1">
        <f>_xlfn.NORM.S.DIST(((A99)-'3_一部損壊以上率'!$G$3)/'3_一部損壊以上率'!$H$3, TRUE)</f>
        <v>0.92191629517796381</v>
      </c>
      <c r="E99" s="1">
        <f t="shared" si="5"/>
        <v>0.38989987655608183</v>
      </c>
      <c r="F99" s="1">
        <f t="shared" si="6"/>
        <v>0.38987703670619722</v>
      </c>
      <c r="G99" s="1">
        <f t="shared" si="7"/>
        <v>0.14213938191568476</v>
      </c>
      <c r="H99" s="1">
        <f t="shared" si="8"/>
        <v>7.8083704822036193E-2</v>
      </c>
      <c r="I99" s="1">
        <f t="shared" si="9"/>
        <v>0.6203732403881016</v>
      </c>
    </row>
    <row r="100" spans="1:9" x14ac:dyDescent="0.4">
      <c r="A100" s="1">
        <v>9.4999999999999893</v>
      </c>
      <c r="B100" s="1">
        <f>_xlfn.NORM.S.DIST(((A100)-'1_全損率'!$G$3)/'1_全損率'!$H$3, TRUE)</f>
        <v>0.39567807110812037</v>
      </c>
      <c r="C100" s="1">
        <f>_xlfn.NORM.S.DIST(((A100)-'2_全半壊率'!$G$3)/'2_全半壊率'!$H$3, TRUE)</f>
        <v>0.78718735802342743</v>
      </c>
      <c r="D100" s="1">
        <f>_xlfn.NORM.S.DIST(((A100)-'3_一部損壊以上率'!$G$3)/'3_一部損壊以上率'!$H$3, TRUE)</f>
        <v>0.92570783712114357</v>
      </c>
      <c r="E100" s="1">
        <f t="shared" si="5"/>
        <v>0.39567807110812037</v>
      </c>
      <c r="F100" s="1">
        <f t="shared" si="6"/>
        <v>0.39150928691530706</v>
      </c>
      <c r="G100" s="1">
        <f t="shared" si="7"/>
        <v>0.13852047909771614</v>
      </c>
      <c r="H100" s="1">
        <f t="shared" si="8"/>
        <v>7.4292162878856427E-2</v>
      </c>
      <c r="I100" s="1">
        <f t="shared" si="9"/>
        <v>0.62606283434020282</v>
      </c>
    </row>
    <row r="101" spans="1:9" x14ac:dyDescent="0.4">
      <c r="A101" s="1">
        <v>9.5999999999999908</v>
      </c>
      <c r="B101" s="1">
        <f>_xlfn.NORM.S.DIST(((A101)-'1_全損率'!$G$3)/'1_全損率'!$H$3, TRUE)</f>
        <v>0.40147928614250061</v>
      </c>
      <c r="C101" s="1">
        <f>_xlfn.NORM.S.DIST(((A101)-'2_全半壊率'!$G$3)/'2_全半壊率'!$H$3, TRUE)</f>
        <v>0.79445016861175044</v>
      </c>
      <c r="D101" s="1">
        <f>_xlfn.NORM.S.DIST(((A101)-'3_一部損壊以上率'!$G$3)/'3_一部損壊以上率'!$H$3, TRUE)</f>
        <v>0.92935714590555285</v>
      </c>
      <c r="E101" s="1">
        <f t="shared" si="5"/>
        <v>0.40147928614250061</v>
      </c>
      <c r="F101" s="1">
        <f t="shared" si="6"/>
        <v>0.39297088246924983</v>
      </c>
      <c r="G101" s="1">
        <f t="shared" si="7"/>
        <v>0.13490697729380241</v>
      </c>
      <c r="H101" s="1">
        <f t="shared" si="8"/>
        <v>7.0642854094447149E-2</v>
      </c>
      <c r="I101" s="1">
        <f t="shared" si="9"/>
        <v>0.63169147170057616</v>
      </c>
    </row>
    <row r="102" spans="1:9" x14ac:dyDescent="0.4">
      <c r="A102" s="1">
        <v>9.6999999999999904</v>
      </c>
      <c r="B102" s="1">
        <f>_xlfn.NORM.S.DIST(((A102)-'1_全損率'!$G$3)/'1_全損率'!$H$3, TRUE)</f>
        <v>0.40730229782604199</v>
      </c>
      <c r="C102" s="1">
        <f>_xlfn.NORM.S.DIST(((A102)-'2_全半壊率'!$G$3)/'2_全半壊率'!$H$3, TRUE)</f>
        <v>0.80156374611061265</v>
      </c>
      <c r="D102" s="1">
        <f>_xlfn.NORM.S.DIST(((A102)-'3_一部損壊以上率'!$G$3)/'3_一部損壊以上率'!$H$3, TRUE)</f>
        <v>0.93286709715922211</v>
      </c>
      <c r="E102" s="1">
        <f t="shared" si="5"/>
        <v>0.40730229782604199</v>
      </c>
      <c r="F102" s="1">
        <f t="shared" si="6"/>
        <v>0.39426144828457066</v>
      </c>
      <c r="G102" s="1">
        <f t="shared" si="7"/>
        <v>0.13130335104860946</v>
      </c>
      <c r="H102" s="1">
        <f t="shared" si="8"/>
        <v>6.7132902840777886E-2</v>
      </c>
      <c r="I102" s="1">
        <f t="shared" si="9"/>
        <v>0.6372588597304798</v>
      </c>
    </row>
    <row r="103" spans="1:9" x14ac:dyDescent="0.4">
      <c r="A103" s="1">
        <v>9.7999999999999901</v>
      </c>
      <c r="B103" s="1">
        <f>_xlfn.NORM.S.DIST(((A103)-'1_全損率'!$G$3)/'1_全損率'!$H$3, TRUE)</f>
        <v>0.41314586786234425</v>
      </c>
      <c r="C103" s="1">
        <f>_xlfn.NORM.S.DIST(((A103)-'2_全半壊率'!$G$3)/'2_全半壊率'!$H$3, TRUE)</f>
        <v>0.80852671287213307</v>
      </c>
      <c r="D103" s="1">
        <f>_xlfn.NORM.S.DIST(((A103)-'3_一部損壊以上率'!$G$3)/'3_一部損壊以上率'!$H$3, TRUE)</f>
        <v>0.9362406481752612</v>
      </c>
      <c r="E103" s="1">
        <f t="shared" si="5"/>
        <v>0.41314586786234425</v>
      </c>
      <c r="F103" s="1">
        <f t="shared" si="6"/>
        <v>0.39538084500978882</v>
      </c>
      <c r="G103" s="1">
        <f t="shared" si="7"/>
        <v>0.12771393530312813</v>
      </c>
      <c r="H103" s="1">
        <f t="shared" si="8"/>
        <v>6.3759351824738797E-2</v>
      </c>
      <c r="I103" s="1">
        <f t="shared" si="9"/>
        <v>0.64276477419302069</v>
      </c>
    </row>
    <row r="104" spans="1:9" x14ac:dyDescent="0.4">
      <c r="A104" s="1">
        <v>9.8999999999999897</v>
      </c>
      <c r="B104" s="1">
        <f>_xlfn.NORM.S.DIST(((A104)-'1_全損率'!$G$3)/'1_全損率'!$H$3, TRUE)</f>
        <v>0.41900874427968571</v>
      </c>
      <c r="C104" s="1">
        <f>_xlfn.NORM.S.DIST(((A104)-'2_全半壊率'!$G$3)/'2_全半壊率'!$H$3, TRUE)</f>
        <v>0.81533791051064197</v>
      </c>
      <c r="D104" s="1">
        <f>_xlfn.NORM.S.DIST(((A104)-'3_一部損壊以上率'!$G$3)/'3_一部損壊以上率'!$H$3, TRUE)</f>
        <v>0.93948082867348115</v>
      </c>
      <c r="E104" s="1">
        <f t="shared" si="5"/>
        <v>0.41900874427968571</v>
      </c>
      <c r="F104" s="1">
        <f t="shared" si="6"/>
        <v>0.39632916623095626</v>
      </c>
      <c r="G104" s="1">
        <f t="shared" si="7"/>
        <v>0.12414291816283918</v>
      </c>
      <c r="H104" s="1">
        <f t="shared" si="8"/>
        <v>6.051917132651885E-2</v>
      </c>
      <c r="I104" s="1">
        <f t="shared" si="9"/>
        <v>0.64820905693587361</v>
      </c>
    </row>
    <row r="105" spans="1:9" x14ac:dyDescent="0.4">
      <c r="A105" s="1">
        <v>9.9999999999999893</v>
      </c>
      <c r="B105" s="1">
        <f>_xlfn.NORM.S.DIST(((A105)-'1_全損率'!$G$3)/'1_全損率'!$H$3, TRUE)</f>
        <v>0.42488966223408042</v>
      </c>
      <c r="C105" s="1">
        <f>_xlfn.NORM.S.DIST(((A105)-'2_全半壊率'!$G$3)/'2_全半壊率'!$H$3, TRUE)</f>
        <v>0.82199639738523433</v>
      </c>
      <c r="D105" s="1">
        <f>_xlfn.NORM.S.DIST(((A105)-'3_一部損壊以上率'!$G$3)/'3_一部損壊以上率'!$H$3, TRUE)</f>
        <v>0.94259073172204433</v>
      </c>
      <c r="E105" s="1">
        <f t="shared" si="5"/>
        <v>0.42488966223408042</v>
      </c>
      <c r="F105" s="1">
        <f t="shared" si="6"/>
        <v>0.39710673515115391</v>
      </c>
      <c r="G105" s="1">
        <f t="shared" si="7"/>
        <v>0.12059433433680999</v>
      </c>
      <c r="H105" s="1">
        <f t="shared" si="8"/>
        <v>5.7409268277955672E-2</v>
      </c>
      <c r="I105" s="1">
        <f t="shared" si="9"/>
        <v>0.65359161339385985</v>
      </c>
    </row>
    <row r="106" spans="1:9" x14ac:dyDescent="0.4">
      <c r="A106" s="1">
        <v>10.1</v>
      </c>
      <c r="B106" s="1">
        <f>_xlfn.NORM.S.DIST(((A106)-'1_全損率'!$G$3)/'1_全損率'!$H$3, TRUE)</f>
        <v>0.43078734482663678</v>
      </c>
      <c r="C106" s="1">
        <f>_xlfn.NORM.S.DIST(((A106)-'2_全半壊率'!$G$3)/'2_全半壊率'!$H$3, TRUE)</f>
        <v>0.82850144559033434</v>
      </c>
      <c r="D106" s="1">
        <f>_xlfn.NORM.S.DIST(((A106)-'3_一部損壊以上率'!$G$3)/'3_一部損壊以上率'!$H$3, TRUE)</f>
        <v>0.94557350484403102</v>
      </c>
      <c r="E106" s="1">
        <f t="shared" si="5"/>
        <v>0.43078734482663678</v>
      </c>
      <c r="F106" s="1">
        <f t="shared" si="6"/>
        <v>0.39771410076369756</v>
      </c>
      <c r="G106" s="1">
        <f t="shared" si="7"/>
        <v>0.11707205925369668</v>
      </c>
      <c r="H106" s="1">
        <f t="shared" si="8"/>
        <v>5.4426495155968979E-2</v>
      </c>
      <c r="I106" s="1">
        <f t="shared" si="9"/>
        <v>0.6589124100219097</v>
      </c>
    </row>
    <row r="107" spans="1:9" x14ac:dyDescent="0.4">
      <c r="A107" s="1">
        <v>10.199999999999999</v>
      </c>
      <c r="B107" s="1">
        <f>_xlfn.NORM.S.DIST(((A107)-'1_全損率'!$G$3)/'1_全損率'!$H$3, TRUE)</f>
        <v>0.43670050393433607</v>
      </c>
      <c r="C107" s="1">
        <f>_xlfn.NORM.S.DIST(((A107)-'2_全半壊率'!$G$3)/'2_全半壊率'!$H$3, TRUE)</f>
        <v>0.83485253747462673</v>
      </c>
      <c r="D107" s="1">
        <f>_xlfn.NORM.S.DIST(((A107)-'3_一部損壊以上率'!$G$3)/'3_一部損壊以上率'!$H$3, TRUE)</f>
        <v>0.94843234133205567</v>
      </c>
      <c r="E107" s="1">
        <f t="shared" si="5"/>
        <v>0.43670050393433607</v>
      </c>
      <c r="F107" s="1">
        <f t="shared" si="6"/>
        <v>0.39815203354029066</v>
      </c>
      <c r="G107" s="1">
        <f t="shared" si="7"/>
        <v>0.11357980385742894</v>
      </c>
      <c r="H107" s="1">
        <f t="shared" si="8"/>
        <v>5.1567658667944327E-2</v>
      </c>
      <c r="I107" s="1">
        <f t="shared" si="9"/>
        <v>0.66417147166883872</v>
      </c>
    </row>
    <row r="108" spans="1:9" x14ac:dyDescent="0.4">
      <c r="A108" s="1">
        <v>10.3</v>
      </c>
      <c r="B108" s="1">
        <f>_xlfn.NORM.S.DIST(((A108)-'1_全損率'!$G$3)/'1_全損率'!$H$3, TRUE)</f>
        <v>0.44262784105333985</v>
      </c>
      <c r="C108" s="1">
        <f>_xlfn.NORM.S.DIST(((A108)-'2_全半壊率'!$G$3)/'2_全半壊率'!$H$3, TRUE)</f>
        <v>0.84104936171006117</v>
      </c>
      <c r="D108" s="1">
        <f>_xlfn.NORM.S.DIST(((A108)-'3_一部損壊以上率'!$G$3)/'3_一部損壊以上率'!$H$3, TRUE)</f>
        <v>0.95117047179229275</v>
      </c>
      <c r="E108" s="1">
        <f t="shared" si="5"/>
        <v>0.44262784105333985</v>
      </c>
      <c r="F108" s="1">
        <f t="shared" si="6"/>
        <v>0.39842152065672132</v>
      </c>
      <c r="G108" s="1">
        <f t="shared" si="7"/>
        <v>0.11012111008223158</v>
      </c>
      <c r="H108" s="1">
        <f t="shared" si="8"/>
        <v>4.8829528207707251E-2</v>
      </c>
      <c r="I108" s="1">
        <f t="shared" si="9"/>
        <v>0.66936887890225849</v>
      </c>
    </row>
    <row r="109" spans="1:9" x14ac:dyDescent="0.4">
      <c r="A109" s="1">
        <v>10.4</v>
      </c>
      <c r="B109" s="1">
        <f>_xlfn.NORM.S.DIST(((A109)-'1_全損率'!$G$3)/'1_全損率'!$H$3, TRUE)</f>
        <v>0.44856804815389395</v>
      </c>
      <c r="C109" s="1">
        <f>_xlfn.NORM.S.DIST(((A109)-'2_全半壊率'!$G$3)/'2_全半壊率'!$H$3, TRUE)</f>
        <v>0.84709180893380165</v>
      </c>
      <c r="D109" s="1">
        <f>_xlfn.NORM.S.DIST(((A109)-'3_一部損壊以上率'!$G$3)/'3_一部損壊以上率'!$H$3, TRUE)</f>
        <v>0.95379115593744357</v>
      </c>
      <c r="E109" s="1">
        <f t="shared" si="5"/>
        <v>0.44856804815389395</v>
      </c>
      <c r="F109" s="1">
        <f t="shared" si="6"/>
        <v>0.3985237607799077</v>
      </c>
      <c r="G109" s="1">
        <f t="shared" si="7"/>
        <v>0.10669934700364192</v>
      </c>
      <c r="H109" s="1">
        <f t="shared" si="8"/>
        <v>4.6208844062556431E-2</v>
      </c>
      <c r="I109" s="1">
        <f t="shared" si="9"/>
        <v>0.67450476529475822</v>
      </c>
    </row>
    <row r="110" spans="1:9" x14ac:dyDescent="0.4">
      <c r="A110" s="1">
        <v>10.5</v>
      </c>
      <c r="B110" s="1">
        <f>_xlfn.NORM.S.DIST(((A110)-'1_全損率'!$G$3)/'1_全損率'!$H$3, TRUE)</f>
        <v>0.45451980854590324</v>
      </c>
      <c r="C110" s="1">
        <f>_xlfn.NORM.S.DIST(((A110)-'2_全半壊率'!$G$3)/'2_全半壊率'!$H$3, TRUE)</f>
        <v>0.85297996698710199</v>
      </c>
      <c r="D110" s="1">
        <f>_xlfn.NORM.S.DIST(((A110)-'3_一部損壊以上率'!$G$3)/'3_一部損壊以上率'!$H$3, TRUE)</f>
        <v>0.95629767464634774</v>
      </c>
      <c r="E110" s="1">
        <f t="shared" si="5"/>
        <v>0.45451980854590324</v>
      </c>
      <c r="F110" s="1">
        <f t="shared" si="6"/>
        <v>0.39846015844119875</v>
      </c>
      <c r="G110" s="1">
        <f t="shared" si="7"/>
        <v>0.10331770765924575</v>
      </c>
      <c r="H110" s="1">
        <f t="shared" si="8"/>
        <v>4.370232535365226E-2</v>
      </c>
      <c r="I110" s="1">
        <f t="shared" si="9"/>
        <v>0.67957931468131405</v>
      </c>
    </row>
    <row r="111" spans="1:9" x14ac:dyDescent="0.4">
      <c r="A111" s="1">
        <v>10.6</v>
      </c>
      <c r="B111" s="1">
        <f>_xlfn.NORM.S.DIST(((A111)-'1_全損率'!$G$3)/'1_全損率'!$H$3, TRUE)</f>
        <v>0.46048179775421594</v>
      </c>
      <c r="C111" s="1">
        <f>_xlfn.NORM.S.DIST(((A111)-'2_全半壊率'!$G$3)/'2_全半壊率'!$H$3, TRUE)</f>
        <v>0.85871411577600465</v>
      </c>
      <c r="D111" s="1">
        <f>_xlfn.NORM.S.DIST(((A111)-'3_一部損壊以上率'!$G$3)/'3_一部損壊以上率'!$H$3, TRUE)</f>
        <v>0.95869332230609716</v>
      </c>
      <c r="E111" s="1">
        <f t="shared" si="5"/>
        <v>0.46048179775421594</v>
      </c>
      <c r="F111" s="1">
        <f t="shared" si="6"/>
        <v>0.39823231802178871</v>
      </c>
      <c r="G111" s="1">
        <f t="shared" si="7"/>
        <v>9.9979206530092513E-2</v>
      </c>
      <c r="H111" s="1">
        <f t="shared" si="8"/>
        <v>4.1306677693902838E-2</v>
      </c>
      <c r="I111" s="1">
        <f t="shared" si="9"/>
        <v>0.68459275839763334</v>
      </c>
    </row>
    <row r="112" spans="1:9" x14ac:dyDescent="0.4">
      <c r="A112" s="1">
        <v>10.7</v>
      </c>
      <c r="B112" s="1">
        <f>_xlfn.NORM.S.DIST(((A112)-'1_全損率'!$G$3)/'1_全損率'!$H$3, TRUE)</f>
        <v>0.46645268440265075</v>
      </c>
      <c r="C112" s="1">
        <f>_xlfn.NORM.S.DIST(((A112)-'2_全半壊率'!$G$3)/'2_全半壊率'!$H$3, TRUE)</f>
        <v>0.86429472177958122</v>
      </c>
      <c r="D112" s="1">
        <f>_xlfn.NORM.S.DIST(((A112)-'3_一部損壊以上率'!$G$3)/'3_一部損壊以上率'!$H$3, TRUE)</f>
        <v>0.96098139945066963</v>
      </c>
      <c r="E112" s="1">
        <f t="shared" si="5"/>
        <v>0.46645268440265075</v>
      </c>
      <c r="F112" s="1">
        <f t="shared" si="6"/>
        <v>0.39784203737693047</v>
      </c>
      <c r="G112" s="1">
        <f t="shared" si="7"/>
        <v>9.6686677671088406E-2</v>
      </c>
      <c r="H112" s="1">
        <f t="shared" si="8"/>
        <v>3.9018600549330373E-2</v>
      </c>
      <c r="I112" s="1">
        <f t="shared" si="9"/>
        <v>0.68954537250888803</v>
      </c>
    </row>
    <row r="113" spans="1:9" x14ac:dyDescent="0.4">
      <c r="A113" s="1">
        <v>10.8</v>
      </c>
      <c r="B113" s="1">
        <f>_xlfn.NORM.S.DIST(((A113)-'1_全損率'!$G$3)/'1_全損率'!$H$3, TRUE)</f>
        <v>0.47243113110578389</v>
      </c>
      <c r="C113" s="1">
        <f>_xlfn.NORM.S.DIST(((A113)-'2_全半壊率'!$G$3)/'2_全半壊率'!$H$3, TRUE)</f>
        <v>0.86972243223210211</v>
      </c>
      <c r="D113" s="1">
        <f>_xlfn.NORM.S.DIST(((A113)-'3_一部損壊以上率'!$G$3)/'3_一部損壊以上率'!$H$3, TRUE)</f>
        <v>0.96316520570826913</v>
      </c>
      <c r="E113" s="1">
        <f t="shared" si="5"/>
        <v>0.47243113110578389</v>
      </c>
      <c r="F113" s="1">
        <f t="shared" si="6"/>
        <v>0.39729130112631822</v>
      </c>
      <c r="G113" s="1">
        <f t="shared" si="7"/>
        <v>9.3442773476167029E-2</v>
      </c>
      <c r="H113" s="1">
        <f t="shared" si="8"/>
        <v>3.6834794291730866E-2</v>
      </c>
      <c r="I113" s="1">
        <f t="shared" si="9"/>
        <v>0.69443747503798481</v>
      </c>
    </row>
    <row r="114" spans="1:9" x14ac:dyDescent="0.4">
      <c r="A114" s="1">
        <v>10.9</v>
      </c>
      <c r="B114" s="1">
        <f>_xlfn.NORM.S.DIST(((A114)-'1_全損率'!$G$3)/'1_全損率'!$H$3, TRUE)</f>
        <v>0.47841579536749856</v>
      </c>
      <c r="C114" s="1">
        <f>_xlfn.NORM.S.DIST(((A114)-'2_全半壊率'!$G$3)/'2_全半壊率'!$H$3, TRUE)</f>
        <v>0.87499806900606603</v>
      </c>
      <c r="D114" s="1">
        <f>_xlfn.NORM.S.DIST(((A114)-'3_一部損壊以上率'!$G$3)/'3_一部損壊以上率'!$H$3, TRUE)</f>
        <v>0.96524803306775686</v>
      </c>
      <c r="E114" s="1">
        <f t="shared" si="5"/>
        <v>0.47841579536749856</v>
      </c>
      <c r="F114" s="1">
        <f t="shared" si="6"/>
        <v>0.39658227363856746</v>
      </c>
      <c r="G114" s="1">
        <f t="shared" si="7"/>
        <v>9.0249964061690835E-2</v>
      </c>
      <c r="H114" s="1">
        <f t="shared" si="8"/>
        <v>3.4751966932243139E-2</v>
      </c>
      <c r="I114" s="1">
        <f t="shared" si="9"/>
        <v>0.69926942320220498</v>
      </c>
    </row>
    <row r="115" spans="1:9" x14ac:dyDescent="0.4">
      <c r="A115" s="1">
        <v>11</v>
      </c>
      <c r="B115" s="1">
        <f>_xlfn.NORM.S.DIST(((A115)-'1_全損率'!$G$3)/'1_全損率'!$H$3, TRUE)</f>
        <v>0.48440533048529355</v>
      </c>
      <c r="C115" s="1">
        <f>_xlfn.NORM.S.DIST(((A115)-'2_全半壊率'!$G$3)/'2_全半壊率'!$H$3, TRUE)</f>
        <v>0.88012262222342796</v>
      </c>
      <c r="D115" s="1">
        <f>_xlfn.NORM.S.DIST(((A115)-'3_一部損壊以上率'!$G$3)/'3_一部損壊以上率'!$H$3, TRUE)</f>
        <v>0.96723315947277555</v>
      </c>
      <c r="E115" s="1">
        <f t="shared" si="5"/>
        <v>0.48440533048529355</v>
      </c>
      <c r="F115" s="1">
        <f t="shared" si="6"/>
        <v>0.39571729173813441</v>
      </c>
      <c r="G115" s="1">
        <f t="shared" si="7"/>
        <v>8.7110537249347586E-2</v>
      </c>
      <c r="H115" s="1">
        <f t="shared" si="8"/>
        <v>3.276684052722445E-2</v>
      </c>
      <c r="I115" s="1">
        <f t="shared" si="9"/>
        <v>0.70404161066669768</v>
      </c>
    </row>
    <row r="116" spans="1:9" x14ac:dyDescent="0.4">
      <c r="A116" s="1">
        <v>11.1</v>
      </c>
      <c r="B116" s="1">
        <f>_xlfn.NORM.S.DIST(((A116)-'1_全損率'!$G$3)/'1_全損率'!$H$3, TRUE)</f>
        <v>0.49039838645933348</v>
      </c>
      <c r="C116" s="1">
        <f>_xlfn.NORM.S.DIST(((A116)-'2_全半壊率'!$G$3)/'2_全半壊率'!$H$3, TRUE)</f>
        <v>0.88509724362263942</v>
      </c>
      <c r="D116" s="1">
        <f>_xlfn.NORM.S.DIST(((A116)-'3_一部損壊以上率'!$G$3)/'3_一部損壊以上率'!$H$3, TRUE)</f>
        <v>0.96912384275043917</v>
      </c>
      <c r="E116" s="1">
        <f t="shared" si="5"/>
        <v>0.49039838645933348</v>
      </c>
      <c r="F116" s="1">
        <f t="shared" si="6"/>
        <v>0.39469885716330594</v>
      </c>
      <c r="G116" s="1">
        <f t="shared" si="7"/>
        <v>8.402659912779975E-2</v>
      </c>
      <c r="H116" s="1">
        <f t="shared" si="8"/>
        <v>3.0876157249560832E-2</v>
      </c>
      <c r="I116" s="1">
        <f t="shared" si="9"/>
        <v>0.70875446482293647</v>
      </c>
    </row>
    <row r="117" spans="1:9" x14ac:dyDescent="0.4">
      <c r="A117" s="1">
        <v>11.2</v>
      </c>
      <c r="B117" s="1">
        <f>_xlfn.NORM.S.DIST(((A117)-'1_全損率'!$G$3)/'1_全損率'!$H$3, TRUE)</f>
        <v>0.49639361090521911</v>
      </c>
      <c r="C117" s="1">
        <f>_xlfn.NORM.S.DIST(((A117)-'2_全半壊率'!$G$3)/'2_全半壊率'!$H$3, TRUE)</f>
        <v>0.88992323970926523</v>
      </c>
      <c r="D117" s="1">
        <f>_xlfn.NORM.S.DIST(((A117)-'3_一部損壊以上率'!$G$3)/'3_一部損壊以上率'!$H$3, TRUE)</f>
        <v>0.97092331487976213</v>
      </c>
      <c r="E117" s="1">
        <f t="shared" si="5"/>
        <v>0.49639361090521911</v>
      </c>
      <c r="F117" s="1">
        <f t="shared" si="6"/>
        <v>0.39352962880404613</v>
      </c>
      <c r="G117" s="1">
        <f t="shared" si="7"/>
        <v>8.1000075170496899E-2</v>
      </c>
      <c r="H117" s="1">
        <f t="shared" si="8"/>
        <v>2.9076685120237866E-2</v>
      </c>
      <c r="I117" s="1">
        <f t="shared" si="9"/>
        <v>0.71340844409986637</v>
      </c>
    </row>
    <row r="118" spans="1:9" x14ac:dyDescent="0.4">
      <c r="A118" s="1">
        <v>11.3</v>
      </c>
      <c r="B118" s="1">
        <f>_xlfn.NORM.S.DIST(((A118)-'1_全損率'!$G$3)/'1_全損率'!$H$3, TRUE)</f>
        <v>0.50238964996944946</v>
      </c>
      <c r="C118" s="1">
        <f>_xlfn.NORM.S.DIST(((A118)-'2_全半壊率'!$G$3)/'2_全半壊率'!$H$3, TRUE)</f>
        <v>0.89460206471795867</v>
      </c>
      <c r="D118" s="1">
        <f>_xlfn.NORM.S.DIST(((A118)-'3_一部損壊以上率'!$G$3)/'3_一部損壊以上率'!$H$3, TRUE)</f>
        <v>0.97263477660337527</v>
      </c>
      <c r="E118" s="1">
        <f t="shared" si="5"/>
        <v>0.50238964996944946</v>
      </c>
      <c r="F118" s="1">
        <f t="shared" si="6"/>
        <v>0.39221241474850921</v>
      </c>
      <c r="G118" s="1">
        <f t="shared" si="7"/>
        <v>7.8032711885416606E-2</v>
      </c>
      <c r="H118" s="1">
        <f t="shared" si="8"/>
        <v>2.7365223396624727E-2</v>
      </c>
      <c r="I118" s="1">
        <f t="shared" si="9"/>
        <v>0.7180040353150583</v>
      </c>
    </row>
    <row r="119" spans="1:9" x14ac:dyDescent="0.4">
      <c r="A119" s="1">
        <v>11.4</v>
      </c>
      <c r="B119" s="1">
        <f>_xlfn.NORM.S.DIST(((A119)-'1_全損率'!$G$3)/'1_全損率'!$H$3, TRUE)</f>
        <v>0.50838514924654199</v>
      </c>
      <c r="C119" s="1">
        <f>_xlfn.NORM.S.DIST(((A119)-'2_全半壊率'!$G$3)/'2_全半壊率'!$H$3, TRUE)</f>
        <v>0.89913531341347874</v>
      </c>
      <c r="D119" s="1">
        <f>_xlfn.NORM.S.DIST(((A119)-'3_一部損壊以上率'!$G$3)/'3_一部損壊以上率'!$H$3, TRUE)</f>
        <v>0.97426139238449083</v>
      </c>
      <c r="E119" s="1">
        <f t="shared" si="5"/>
        <v>0.50838514924654199</v>
      </c>
      <c r="F119" s="1">
        <f t="shared" si="6"/>
        <v>0.39075016416693675</v>
      </c>
      <c r="G119" s="1">
        <f t="shared" si="7"/>
        <v>7.5126078971012089E-2</v>
      </c>
      <c r="H119" s="1">
        <f t="shared" si="8"/>
        <v>2.5738607615509168E-2</v>
      </c>
      <c r="I119" s="1">
        <f t="shared" si="9"/>
        <v>0.72254175107276342</v>
      </c>
    </row>
    <row r="120" spans="1:9" x14ac:dyDescent="0.4">
      <c r="A120" s="1">
        <v>11.5</v>
      </c>
      <c r="B120" s="1">
        <f>_xlfn.NORM.S.DIST(((A120)-'1_全損率'!$G$3)/'1_全損率'!$H$3, TRUE)</f>
        <v>0.51437875469677707</v>
      </c>
      <c r="C120" s="1">
        <f>_xlfn.NORM.S.DIST(((A120)-'2_全半壊率'!$G$3)/'2_全半壊率'!$H$3, TRUE)</f>
        <v>0.90352471375821053</v>
      </c>
      <c r="D120" s="1">
        <f>_xlfn.NORM.S.DIST(((A120)-'3_一部損壊以上率'!$G$3)/'3_一部損壊以上率'!$H$3, TRUE)</f>
        <v>0.97580628570957573</v>
      </c>
      <c r="E120" s="1">
        <f t="shared" si="5"/>
        <v>0.51437875469677707</v>
      </c>
      <c r="F120" s="1">
        <f t="shared" si="6"/>
        <v>0.38914595906143346</v>
      </c>
      <c r="G120" s="1">
        <f t="shared" si="7"/>
        <v>7.2281571951365198E-2</v>
      </c>
      <c r="H120" s="1">
        <f t="shared" si="8"/>
        <v>2.4193714290424273E-2</v>
      </c>
      <c r="I120" s="1">
        <f t="shared" si="9"/>
        <v>0.7270221272153351</v>
      </c>
    </row>
    <row r="121" spans="1:9" x14ac:dyDescent="0.4">
      <c r="A121" s="1">
        <v>11.6</v>
      </c>
      <c r="B121" s="1">
        <f>_xlfn.NORM.S.DIST(((A121)-'1_全損率'!$G$3)/'1_全損率'!$H$3, TRUE)</f>
        <v>0.52036911356352866</v>
      </c>
      <c r="C121" s="1">
        <f>_xlfn.NORM.S.DIST(((A121)-'2_全半壊率'!$G$3)/'2_全半壊率'!$H$3, TRUE)</f>
        <v>0.90777211947331671</v>
      </c>
      <c r="D121" s="1">
        <f>_xlfn.NORM.S.DIST(((A121)-'3_一部損壊以上率'!$G$3)/'3_一部損壊以上率'!$H$3, TRUE)</f>
        <v>0.97727253473574971</v>
      </c>
      <c r="E121" s="1">
        <f t="shared" si="5"/>
        <v>0.52036911356352866</v>
      </c>
      <c r="F121" s="1">
        <f t="shared" si="6"/>
        <v>0.38740300590978805</v>
      </c>
      <c r="G121" s="1">
        <f t="shared" si="7"/>
        <v>6.9500415262433002E-2</v>
      </c>
      <c r="H121" s="1">
        <f t="shared" si="8"/>
        <v>2.2727465264250291E-2</v>
      </c>
      <c r="I121" s="1">
        <f t="shared" si="9"/>
        <v>0.73144572033403099</v>
      </c>
    </row>
    <row r="122" spans="1:9" x14ac:dyDescent="0.4">
      <c r="A122" s="1">
        <v>11.7</v>
      </c>
      <c r="B122" s="1">
        <f>_xlfn.NORM.S.DIST(((A122)-'1_全損率'!$G$3)/'1_全損率'!$H$3, TRUE)</f>
        <v>0.52635487528914604</v>
      </c>
      <c r="C122" s="1">
        <f>_xlfn.NORM.S.DIST(((A122)-'2_全半壊率'!$G$3)/'2_全半壊率'!$H$3, TRUE)</f>
        <v>0.911879502520204</v>
      </c>
      <c r="D122" s="1">
        <f>_xlfn.NORM.S.DIST(((A122)-'3_一部損壊以上率'!$G$3)/'3_一部損壊以上率'!$H$3, TRUE)</f>
        <v>0.9786631682805641</v>
      </c>
      <c r="E122" s="1">
        <f t="shared" si="5"/>
        <v>0.52635487528914604</v>
      </c>
      <c r="F122" s="1">
        <f t="shared" si="6"/>
        <v>0.38552462723105796</v>
      </c>
      <c r="G122" s="1">
        <f t="shared" si="7"/>
        <v>6.67836657603601E-2</v>
      </c>
      <c r="H122" s="1">
        <f t="shared" si="8"/>
        <v>2.13368317194359E-2</v>
      </c>
      <c r="I122" s="1">
        <f t="shared" si="9"/>
        <v>0.73581310534476507</v>
      </c>
    </row>
    <row r="123" spans="1:9" x14ac:dyDescent="0.4">
      <c r="A123" s="1">
        <v>11.8</v>
      </c>
      <c r="B123" s="1">
        <f>_xlfn.NORM.S.DIST(((A123)-'1_全損率'!$G$3)/'1_全損率'!$H$3, TRUE)</f>
        <v>0.53233469242835407</v>
      </c>
      <c r="C123" s="1">
        <f>_xlfn.NORM.S.DIST(((A123)-'2_全半壊率'!$G$3)/'2_全半壊率'!$H$3, TRUE)</f>
        <v>0.91584894552844287</v>
      </c>
      <c r="D123" s="1">
        <f>_xlfn.NORM.S.DIST(((A123)-'3_一部損壊以上率'!$G$3)/'3_一部損壊以上率'!$H$3, TRUE)</f>
        <v>0.97998116215053055</v>
      </c>
      <c r="E123" s="1">
        <f t="shared" si="5"/>
        <v>0.53233469242835407</v>
      </c>
      <c r="F123" s="1">
        <f t="shared" si="6"/>
        <v>0.3835142531000888</v>
      </c>
      <c r="G123" s="1">
        <f t="shared" si="7"/>
        <v>6.4132216622087679E-2</v>
      </c>
      <c r="H123" s="1">
        <f t="shared" si="8"/>
        <v>2.0018837849469451E-2</v>
      </c>
      <c r="I123" s="1">
        <f t="shared" si="9"/>
        <v>0.74012487313392039</v>
      </c>
    </row>
    <row r="124" spans="1:9" x14ac:dyDescent="0.4">
      <c r="A124" s="1">
        <v>11.9</v>
      </c>
      <c r="B124" s="1">
        <f>_xlfn.NORM.S.DIST(((A124)-'1_全損率'!$G$3)/'1_全損率'!$H$3, TRUE)</f>
        <v>0.53830722155814159</v>
      </c>
      <c r="C124" s="1">
        <f>_xlfn.NORM.S.DIST(((A124)-'2_全半壊率'!$G$3)/'2_全半壊率'!$H$3, TRUE)</f>
        <v>0.91968263419563423</v>
      </c>
      <c r="D124" s="1">
        <f>_xlfn.NORM.S.DIST(((A124)-'3_一部損壊以上率'!$G$3)/'3_一部損壊以上率'!$H$3, TRUE)</f>
        <v>0.98122943580357069</v>
      </c>
      <c r="E124" s="1">
        <f t="shared" si="5"/>
        <v>0.53830722155814159</v>
      </c>
      <c r="F124" s="1">
        <f t="shared" si="6"/>
        <v>0.38137541263749264</v>
      </c>
      <c r="G124" s="1">
        <f t="shared" si="7"/>
        <v>6.1546801607936463E-2</v>
      </c>
      <c r="H124" s="1">
        <f t="shared" si="8"/>
        <v>1.8770564196429307E-2</v>
      </c>
      <c r="I124" s="1">
        <f t="shared" si="9"/>
        <v>0.744381628278872</v>
      </c>
    </row>
    <row r="125" spans="1:9" x14ac:dyDescent="0.4">
      <c r="A125" s="1">
        <v>12</v>
      </c>
      <c r="B125" s="1">
        <f>_xlfn.NORM.S.DIST(((A125)-'1_全損率'!$G$3)/'1_全損率'!$H$3, TRUE)</f>
        <v>0.54427112418311385</v>
      </c>
      <c r="C125" s="1">
        <f>_xlfn.NORM.S.DIST(((A125)-'2_全半壊率'!$G$3)/'2_全半壊率'!$H$3, TRUE)</f>
        <v>0.92338284968398354</v>
      </c>
      <c r="D125" s="1">
        <f>_xlfn.NORM.S.DIST(((A125)-'3_一部損壊以上率'!$G$3)/'3_一部損壊以上率'!$H$3, TRUE)</f>
        <v>0.98241084933943745</v>
      </c>
      <c r="E125" s="1">
        <f t="shared" si="5"/>
        <v>0.54427112418311385</v>
      </c>
      <c r="F125" s="1">
        <f t="shared" si="6"/>
        <v>0.37911172550086969</v>
      </c>
      <c r="G125" s="1">
        <f t="shared" si="7"/>
        <v>5.9027999655453911E-2</v>
      </c>
      <c r="H125" s="1">
        <f t="shared" si="8"/>
        <v>1.7589150660562547E-2</v>
      </c>
      <c r="I125" s="1">
        <f t="shared" si="9"/>
        <v>0.74858398684741223</v>
      </c>
    </row>
    <row r="126" spans="1:9" x14ac:dyDescent="0.4">
      <c r="A126" s="1">
        <v>12.1</v>
      </c>
      <c r="B126" s="1">
        <f>_xlfn.NORM.S.DIST(((A126)-'1_全損率'!$G$3)/'1_全損率'!$H$3, TRUE)</f>
        <v>0.55022506763529311</v>
      </c>
      <c r="C126" s="1">
        <f>_xlfn.NORM.S.DIST(((A126)-'2_全半壊率'!$G$3)/'2_全半壊率'!$H$3, TRUE)</f>
        <v>0.92695196103752053</v>
      </c>
      <c r="D126" s="1">
        <f>_xlfn.NORM.S.DIST(((A126)-'3_一部損壊以上率'!$G$3)/'3_一部損壊以上率'!$H$3, TRUE)</f>
        <v>0.98352820081112868</v>
      </c>
      <c r="E126" s="1">
        <f t="shared" si="5"/>
        <v>0.55022506763529311</v>
      </c>
      <c r="F126" s="1">
        <f t="shared" si="6"/>
        <v>0.37672689340222743</v>
      </c>
      <c r="G126" s="1">
        <f t="shared" si="7"/>
        <v>5.657623977360815E-2</v>
      </c>
      <c r="H126" s="1">
        <f t="shared" si="8"/>
        <v>1.6471799188871317E-2</v>
      </c>
      <c r="I126" s="1">
        <f t="shared" si="9"/>
        <v>0.75273257427980889</v>
      </c>
    </row>
    <row r="127" spans="1:9" x14ac:dyDescent="0.4">
      <c r="A127" s="1">
        <v>12.2</v>
      </c>
      <c r="B127" s="1">
        <f>_xlfn.NORM.S.DIST(((A127)-'1_全損率'!$G$3)/'1_全損率'!$H$3, TRUE)</f>
        <v>0.55616772596735808</v>
      </c>
      <c r="C127" s="1">
        <f>_xlfn.NORM.S.DIST(((A127)-'2_全半壊率'!$G$3)/'2_全半壊率'!$H$3, TRUE)</f>
        <v>0.93039241764301228</v>
      </c>
      <c r="D127" s="1">
        <f>_xlfn.NORM.S.DIST(((A127)-'3_一部損壊以上率'!$G$3)/'3_一部損壊以上率'!$H$3, TRUE)</f>
        <v>0.98458422384937339</v>
      </c>
      <c r="E127" s="1">
        <f t="shared" si="5"/>
        <v>0.55616772596735808</v>
      </c>
      <c r="F127" s="1">
        <f t="shared" si="6"/>
        <v>0.3742246916756542</v>
      </c>
      <c r="G127" s="1">
        <f t="shared" si="7"/>
        <v>5.4191806206361104E-2</v>
      </c>
      <c r="H127" s="1">
        <f t="shared" si="8"/>
        <v>1.5415776150626614E-2</v>
      </c>
      <c r="I127" s="1">
        <f t="shared" si="9"/>
        <v>0.75682802335677546</v>
      </c>
    </row>
    <row r="128" spans="1:9" x14ac:dyDescent="0.4">
      <c r="A128" s="1">
        <v>12.3</v>
      </c>
      <c r="B128" s="1">
        <f>_xlfn.NORM.S.DIST(((A128)-'1_全損率'!$G$3)/'1_全損率'!$H$3, TRUE)</f>
        <v>0.56209778083832629</v>
      </c>
      <c r="C128" s="1">
        <f>_xlfn.NORM.S.DIST(((A128)-'2_全半壊率'!$G$3)/'2_全半壊率'!$H$3, TRUE)</f>
        <v>0.93370674175664492</v>
      </c>
      <c r="D128" s="1">
        <f>_xlfn.NORM.S.DIST(((A128)-'3_一部損壊以上率'!$G$3)/'3_一部損壊以上率'!$H$3, TRUE)</f>
        <v>0.98558158559140963</v>
      </c>
      <c r="E128" s="1">
        <f t="shared" si="5"/>
        <v>0.56209778083832629</v>
      </c>
      <c r="F128" s="1">
        <f t="shared" si="6"/>
        <v>0.37160896091831863</v>
      </c>
      <c r="G128" s="1">
        <f t="shared" si="7"/>
        <v>5.1874843834764706E-2</v>
      </c>
      <c r="H128" s="1">
        <f t="shared" si="8"/>
        <v>1.4418414408590374E-2</v>
      </c>
      <c r="I128" s="1">
        <f t="shared" si="9"/>
        <v>0.76087097225617684</v>
      </c>
    </row>
    <row r="129" spans="1:9" x14ac:dyDescent="0.4">
      <c r="A129" s="1">
        <v>12.4</v>
      </c>
      <c r="B129" s="1">
        <f>_xlfn.NORM.S.DIST(((A129)-'1_全損率'!$G$3)/'1_全損率'!$H$3, TRUE)</f>
        <v>0.56801392239069126</v>
      </c>
      <c r="C129" s="1">
        <f>_xlfn.NORM.S.DIST(((A129)-'2_全半壊率'!$G$3)/'2_全半壊率'!$H$3, TRUE)</f>
        <v>0.93689752111752411</v>
      </c>
      <c r="D129" s="1">
        <f>_xlfn.NORM.S.DIST(((A129)-'3_一部損壊以上率'!$G$3)/'3_一部損壊以上率'!$H$3, TRUE)</f>
        <v>0.98652288490451201</v>
      </c>
      <c r="E129" s="1">
        <f t="shared" si="5"/>
        <v>0.56801392239069126</v>
      </c>
      <c r="F129" s="1">
        <f t="shared" si="6"/>
        <v>0.36888359872683285</v>
      </c>
      <c r="G129" s="1">
        <f t="shared" si="7"/>
        <v>4.9625363786987897E-2</v>
      </c>
      <c r="H129" s="1">
        <f t="shared" si="8"/>
        <v>1.347711509548799E-2</v>
      </c>
      <c r="I129" s="1">
        <f t="shared" si="9"/>
        <v>0.76486206270085466</v>
      </c>
    </row>
    <row r="130" spans="1:9" x14ac:dyDescent="0.4">
      <c r="A130" s="1">
        <v>12.5</v>
      </c>
      <c r="B130" s="1">
        <f>_xlfn.NORM.S.DIST(((A130)-'1_全損率'!$G$3)/'1_全損率'!$H$3, TRUE)</f>
        <v>0.57391485011804444</v>
      </c>
      <c r="C130" s="1">
        <f>_xlfn.NORM.S.DIST(((A130)-'2_全半壊率'!$G$3)/'2_全半壊率'!$H$3, TRUE)</f>
        <v>0.93996740166795922</v>
      </c>
      <c r="D130" s="1">
        <f>_xlfn.NORM.S.DIST(((A130)-'3_一部損壊以上率'!$G$3)/'3_一部損壊以上率'!$H$3, TRUE)</f>
        <v>0.98741065089404267</v>
      </c>
      <c r="E130" s="1">
        <f t="shared" si="5"/>
        <v>0.57391485011804444</v>
      </c>
      <c r="F130" s="1">
        <f t="shared" si="6"/>
        <v>0.36605255154991478</v>
      </c>
      <c r="G130" s="1">
        <f t="shared" si="7"/>
        <v>4.744324922608345E-2</v>
      </c>
      <c r="H130" s="1">
        <f t="shared" si="8"/>
        <v>1.2589349105957326E-2</v>
      </c>
      <c r="I130" s="1">
        <f t="shared" si="9"/>
        <v>0.76880193819952281</v>
      </c>
    </row>
    <row r="131" spans="1:9" x14ac:dyDescent="0.4">
      <c r="A131" s="1">
        <v>12.6</v>
      </c>
      <c r="B131" s="1">
        <f>_xlfn.NORM.S.DIST(((A131)-'1_全損率'!$G$3)/'1_全損率'!$H$3, TRUE)</f>
        <v>0.5797992737222234</v>
      </c>
      <c r="C131" s="1">
        <f>_xlfn.NORM.S.DIST(((A131)-'2_全半壊率'!$G$3)/'2_全半壊率'!$H$3, TRUE)</f>
        <v>0.94291908039936234</v>
      </c>
      <c r="D131" s="1">
        <f>_xlfn.NORM.S.DIST(((A131)-'3_一部損壊以上率'!$G$3)/'3_一部損壊以上率'!$H$3, TRUE)</f>
        <v>0.98824734168520656</v>
      </c>
      <c r="E131" s="1">
        <f t="shared" si="5"/>
        <v>0.5797992737222234</v>
      </c>
      <c r="F131" s="1">
        <f t="shared" si="6"/>
        <v>0.36311980667713895</v>
      </c>
      <c r="G131" s="1">
        <f t="shared" si="7"/>
        <v>4.5328261285844218E-2</v>
      </c>
      <c r="H131" s="1">
        <f t="shared" si="8"/>
        <v>1.175265831479344E-2</v>
      </c>
      <c r="I131" s="1">
        <f t="shared" si="9"/>
        <v>0.77269124238225384</v>
      </c>
    </row>
    <row r="132" spans="1:9" x14ac:dyDescent="0.4">
      <c r="A132" s="1">
        <v>12.7</v>
      </c>
      <c r="B132" s="1">
        <f>_xlfn.NORM.S.DIST(((A132)-'1_全損率'!$G$3)/'1_全損率'!$H$3, TRUE)</f>
        <v>0.58566591395904455</v>
      </c>
      <c r="C132" s="1">
        <f>_xlfn.NORM.S.DIST(((A132)-'2_全半壊率'!$G$3)/'2_全半壊率'!$H$3, TRUE)</f>
        <v>0.9457552983414198</v>
      </c>
      <c r="D132" s="1">
        <f>_xlfn.NORM.S.DIST(((A132)-'3_一部損壊以上率'!$G$3)/'3_一部損壊以上率'!$H$3, TRUE)</f>
        <v>0.98903534346718336</v>
      </c>
      <c r="E132" s="1">
        <f t="shared" si="5"/>
        <v>0.58566591395904455</v>
      </c>
      <c r="F132" s="1">
        <f t="shared" si="6"/>
        <v>0.36008938438237525</v>
      </c>
      <c r="G132" s="1">
        <f t="shared" si="7"/>
        <v>4.3280045125763555E-2</v>
      </c>
      <c r="H132" s="1">
        <f t="shared" si="8"/>
        <v>1.0964656532816641E-2</v>
      </c>
      <c r="I132" s="1">
        <f t="shared" si="9"/>
        <v>0.77653061743167306</v>
      </c>
    </row>
    <row r="133" spans="1:9" x14ac:dyDescent="0.4">
      <c r="A133" s="1">
        <v>12.8</v>
      </c>
      <c r="B133" s="1">
        <f>_xlfn.NORM.S.DIST(((A133)-'1_全損率'!$G$3)/'1_全損率'!$H$3, TRUE)</f>
        <v>0.59151350347169929</v>
      </c>
      <c r="C133" s="1">
        <f>_xlfn.NORM.S.DIST(((A133)-'2_全半壊率'!$G$3)/'2_全半壊率'!$H$3, TRUE)</f>
        <v>0.94847883371098995</v>
      </c>
      <c r="D133" s="1">
        <f>_xlfn.NORM.S.DIST(((A133)-'3_一部損壊以上率'!$G$3)/'3_一部損壊以上率'!$H$3, TRUE)</f>
        <v>0.98977696978788166</v>
      </c>
      <c r="E133" s="1">
        <f t="shared" si="5"/>
        <v>0.59151350347169929</v>
      </c>
      <c r="F133" s="1">
        <f t="shared" si="6"/>
        <v>0.35696533023929067</v>
      </c>
      <c r="G133" s="1">
        <f t="shared" si="7"/>
        <v>4.1298136076891701E-2</v>
      </c>
      <c r="H133" s="1">
        <f t="shared" si="8"/>
        <v>1.0223030212118345E-2</v>
      </c>
      <c r="I133" s="1">
        <f t="shared" si="9"/>
        <v>0.78032070261056752</v>
      </c>
    </row>
    <row r="134" spans="1:9" x14ac:dyDescent="0.4">
      <c r="A134" s="1">
        <v>12.9</v>
      </c>
      <c r="B134" s="1">
        <f>_xlfn.NORM.S.DIST(((A134)-'1_全損率'!$G$3)/'1_全損率'!$H$3, TRUE)</f>
        <v>0.59734078761090659</v>
      </c>
      <c r="C134" s="1">
        <f>_xlfn.NORM.S.DIST(((A134)-'2_全半壊率'!$G$3)/'2_全半壊率'!$H$3, TRUE)</f>
        <v>0.95109249523594508</v>
      </c>
      <c r="D134" s="1">
        <f>_xlfn.NORM.S.DIST(((A134)-'3_一部損壊以上率'!$G$3)/'3_一部損壊以上率'!$H$3, TRUE)</f>
        <v>0.99047446108721438</v>
      </c>
      <c r="E134" s="1">
        <f t="shared" si="5"/>
        <v>0.59734078761090659</v>
      </c>
      <c r="F134" s="1">
        <f t="shared" si="6"/>
        <v>0.35375170762503849</v>
      </c>
      <c r="G134" s="1">
        <f t="shared" si="7"/>
        <v>3.9381965851269296E-2</v>
      </c>
      <c r="H134" s="1">
        <f t="shared" si="8"/>
        <v>9.5255389127856249E-3</v>
      </c>
      <c r="I134" s="1">
        <f t="shared" si="9"/>
        <v>0.78406213288624316</v>
      </c>
    </row>
    <row r="135" spans="1:9" x14ac:dyDescent="0.4">
      <c r="A135" s="1">
        <v>13</v>
      </c>
      <c r="B135" s="1">
        <f>_xlfn.NORM.S.DIST(((A135)-'1_全損率'!$G$3)/'1_全損率'!$H$3, TRUE)</f>
        <v>0.60314652524094359</v>
      </c>
      <c r="C135" s="1">
        <f>_xlfn.NORM.S.DIST(((A135)-'2_全半壊率'!$G$3)/'2_全半壊率'!$H$3, TRUE)</f>
        <v>0.9535991156679261</v>
      </c>
      <c r="D135" s="1">
        <f>_xlfn.NORM.S.DIST(((A135)-'3_一部損壊以上率'!$G$3)/'3_一部損壊以上率'!$H$3, TRUE)</f>
        <v>0.99112998445652667</v>
      </c>
      <c r="E135" s="1">
        <f t="shared" ref="E135:E198" si="10">B135</f>
        <v>0.60314652524094359</v>
      </c>
      <c r="F135" s="1">
        <f t="shared" ref="F135:G150" si="11">C135-B135</f>
        <v>0.35045259042698251</v>
      </c>
      <c r="G135" s="1">
        <f t="shared" si="11"/>
        <v>3.7530868788600569E-2</v>
      </c>
      <c r="H135" s="1">
        <f t="shared" ref="H135:H198" si="12">1-D135</f>
        <v>8.8700155434733308E-3</v>
      </c>
      <c r="I135" s="1">
        <f t="shared" ref="I135:I198" si="13">E135*$B$3+F135*$C$3+G135*$D$3+H135*0</f>
        <v>0.78775553765158501</v>
      </c>
    </row>
    <row r="136" spans="1:9" x14ac:dyDescent="0.4">
      <c r="A136" s="1">
        <v>13.1</v>
      </c>
      <c r="B136" s="1">
        <f>_xlfn.NORM.S.DIST(((A136)-'1_全損率'!$G$3)/'1_全損率'!$H$3, TRUE)</f>
        <v>0.60892948953068715</v>
      </c>
      <c r="C136" s="1">
        <f>_xlfn.NORM.S.DIST(((A136)-'2_全半壊率'!$G$3)/'2_全半壊率'!$H$3, TRUE)</f>
        <v>0.9560015454967159</v>
      </c>
      <c r="D136" s="1">
        <f>_xlfn.NORM.S.DIST(((A136)-'3_一部損壊以上率'!$G$3)/'3_一部損壊以上率'!$H$3, TRUE)</f>
        <v>0.99174563361161305</v>
      </c>
      <c r="E136" s="1">
        <f t="shared" si="10"/>
        <v>0.60892948953068715</v>
      </c>
      <c r="F136" s="1">
        <f t="shared" si="11"/>
        <v>0.34707205596602875</v>
      </c>
      <c r="G136" s="1">
        <f t="shared" si="11"/>
        <v>3.5744088114897155E-2</v>
      </c>
      <c r="H136" s="1">
        <f t="shared" si="12"/>
        <v>8.2543663883869467E-3</v>
      </c>
      <c r="I136" s="1">
        <f t="shared" si="13"/>
        <v>0.79140153954242587</v>
      </c>
    </row>
    <row r="137" spans="1:9" x14ac:dyDescent="0.4">
      <c r="A137" s="1">
        <v>13.2</v>
      </c>
      <c r="B137" s="1">
        <f>_xlfn.NORM.S.DIST(((A137)-'1_全損率'!$G$3)/'1_全損率'!$H$3, TRUE)</f>
        <v>0.61468846872883387</v>
      </c>
      <c r="C137" s="1">
        <f>_xlfn.NORM.S.DIST(((A137)-'2_全半壊率'!$G$3)/'2_全半壊率'!$H$3, TRUE)</f>
        <v>0.95830264687766697</v>
      </c>
      <c r="D137" s="1">
        <f>_xlfn.NORM.S.DIST(((A137)-'3_一部損壊以上率'!$G$3)/'3_一部損壊以上率'!$H$3, TRUE)</f>
        <v>0.99232342906663673</v>
      </c>
      <c r="E137" s="1">
        <f t="shared" si="10"/>
        <v>0.61468846872883387</v>
      </c>
      <c r="F137" s="1">
        <f t="shared" si="11"/>
        <v>0.3436141781488331</v>
      </c>
      <c r="G137" s="1">
        <f t="shared" si="11"/>
        <v>3.4020782188969756E-2</v>
      </c>
      <c r="H137" s="1">
        <f t="shared" si="12"/>
        <v>7.6765709333632692E-3</v>
      </c>
      <c r="I137" s="1">
        <f t="shared" si="13"/>
        <v>0.79500075335049281</v>
      </c>
    </row>
    <row r="138" spans="1:9" x14ac:dyDescent="0.4">
      <c r="A138" s="1">
        <v>13.3</v>
      </c>
      <c r="B138" s="1">
        <f>_xlfn.NORM.S.DIST(((A138)-'1_全損率'!$G$3)/'1_全損率'!$H$3, TRUE)</f>
        <v>0.62042226692248037</v>
      </c>
      <c r="C138" s="1">
        <f>_xlfn.NORM.S.DIST(((A138)-'2_全半壊率'!$G$3)/'2_全半壊率'!$H$3, TRUE)</f>
        <v>0.96050528778235567</v>
      </c>
      <c r="D138" s="1">
        <f>_xlfn.NORM.S.DIST(((A138)-'3_一部損壊以上率'!$G$3)/'3_一部損壊以上率'!$H$3, TRUE)</f>
        <v>0.99286531849621129</v>
      </c>
      <c r="E138" s="1">
        <f t="shared" si="10"/>
        <v>0.62042226692248037</v>
      </c>
      <c r="F138" s="1">
        <f t="shared" si="11"/>
        <v>0.3400830208598753</v>
      </c>
      <c r="G138" s="1">
        <f t="shared" si="11"/>
        <v>3.2360030713855625E-2</v>
      </c>
      <c r="H138" s="1">
        <f t="shared" si="12"/>
        <v>7.134681503788709E-3</v>
      </c>
      <c r="I138" s="1">
        <f t="shared" si="13"/>
        <v>0.79855378503088192</v>
      </c>
    </row>
    <row r="139" spans="1:9" x14ac:dyDescent="0.4">
      <c r="A139" s="1">
        <v>13.4</v>
      </c>
      <c r="B139" s="1">
        <f>_xlfn.NORM.S.DIST(((A139)-'1_全損率'!$G$3)/'1_全損率'!$H$3, TRUE)</f>
        <v>0.62612970477828012</v>
      </c>
      <c r="C139" s="1">
        <f>_xlfn.NORM.S.DIST(((A139)-'2_全半壊率'!$G$3)/'2_全半壊率'!$H$3, TRUE)</f>
        <v>0.96261233638137389</v>
      </c>
      <c r="D139" s="1">
        <f>_xlfn.NORM.S.DIST(((A139)-'3_一部損壊以上率'!$G$3)/'3_一部損壊以上率'!$H$3, TRUE)</f>
        <v>0.99337317727291186</v>
      </c>
      <c r="E139" s="1">
        <f t="shared" si="10"/>
        <v>0.62612970477828012</v>
      </c>
      <c r="F139" s="1">
        <f t="shared" si="11"/>
        <v>0.33648263160309377</v>
      </c>
      <c r="G139" s="1">
        <f t="shared" si="11"/>
        <v>3.0760840891537966E-2</v>
      </c>
      <c r="H139" s="1">
        <f t="shared" si="12"/>
        <v>6.6268227270881441E-3</v>
      </c>
      <c r="I139" s="1">
        <f t="shared" si="13"/>
        <v>0.80206123080271152</v>
      </c>
    </row>
    <row r="140" spans="1:9" x14ac:dyDescent="0.4">
      <c r="A140" s="1">
        <v>13.5</v>
      </c>
      <c r="B140" s="1">
        <f>_xlfn.NORM.S.DIST(((A140)-'1_全損率'!$G$3)/'1_全損率'!$H$3, TRUE)</f>
        <v>0.63180962026541321</v>
      </c>
      <c r="C140" s="1">
        <f>_xlfn.NORM.S.DIST(((A140)-'2_全半壊率'!$G$3)/'2_全半壊率'!$H$3, TRUE)</f>
        <v>0.96462665566692551</v>
      </c>
      <c r="D140" s="1">
        <f>_xlfn.NORM.S.DIST(((A140)-'3_一部損壊以上率'!$G$3)/'3_一部損壊以上率'!$H$3, TRUE)</f>
        <v>0.99384880916755003</v>
      </c>
      <c r="E140" s="1">
        <f t="shared" si="10"/>
        <v>0.63180962026541321</v>
      </c>
      <c r="F140" s="1">
        <f t="shared" si="11"/>
        <v>0.33281703540151231</v>
      </c>
      <c r="G140" s="1">
        <f t="shared" si="11"/>
        <v>2.9222153500624515E-2</v>
      </c>
      <c r="H140" s="1">
        <f t="shared" si="12"/>
        <v>6.1511908324499709E-3</v>
      </c>
      <c r="I140" s="1">
        <f t="shared" si="13"/>
        <v>0.80552367634132549</v>
      </c>
    </row>
    <row r="141" spans="1:9" x14ac:dyDescent="0.4">
      <c r="A141" s="1">
        <v>13.6</v>
      </c>
      <c r="B141" s="1">
        <f>_xlfn.NORM.S.DIST(((A141)-'1_全損率'!$G$3)/'1_全損率'!$H$3, TRUE)</f>
        <v>0.63746086935963731</v>
      </c>
      <c r="C141" s="1">
        <f>_xlfn.NORM.S.DIST(((A141)-'2_全半壊率'!$G$3)/'2_全半壊率'!$H$3, TRUE)</f>
        <v>0.96655109832166863</v>
      </c>
      <c r="D141" s="1">
        <f>_xlfn.NORM.S.DIST(((A141)-'3_一部損壊以上率'!$G$3)/'3_一部損壊以上率'!$H$3, TRUE)</f>
        <v>0.99429394719967612</v>
      </c>
      <c r="E141" s="1">
        <f t="shared" si="10"/>
        <v>0.63746086935963731</v>
      </c>
      <c r="F141" s="1">
        <f t="shared" si="11"/>
        <v>0.32909022896203133</v>
      </c>
      <c r="G141" s="1">
        <f t="shared" si="11"/>
        <v>2.7742848878007487E-2</v>
      </c>
      <c r="H141" s="1">
        <f t="shared" si="12"/>
        <v>5.7060528003238797E-3</v>
      </c>
      <c r="I141" s="1">
        <f t="shared" si="13"/>
        <v>0.80894169606015487</v>
      </c>
    </row>
    <row r="142" spans="1:9" x14ac:dyDescent="0.4">
      <c r="A142" s="1">
        <v>13.7</v>
      </c>
      <c r="B142" s="1">
        <f>_xlfn.NORM.S.DIST(((A142)-'1_全損率'!$G$3)/'1_全損率'!$H$3, TRUE)</f>
        <v>0.64308232672771459</v>
      </c>
      <c r="C142" s="1">
        <f>_xlfn.NORM.S.DIST(((A142)-'2_全半壊率'!$G$3)/'2_全半壊率'!$H$3, TRUE)</f>
        <v>0.96838850183904501</v>
      </c>
      <c r="D142" s="1">
        <f>_xlfn.NORM.S.DIST(((A142)-'3_一部損壊以上率'!$G$3)/'3_一部損壊以上率'!$H$3, TRUE)</f>
        <v>0.99471025462594265</v>
      </c>
      <c r="E142" s="1">
        <f t="shared" si="10"/>
        <v>0.64308232672771459</v>
      </c>
      <c r="F142" s="1">
        <f t="shared" si="11"/>
        <v>0.32530617511133042</v>
      </c>
      <c r="G142" s="1">
        <f t="shared" si="11"/>
        <v>2.6321752786897634E-2</v>
      </c>
      <c r="H142" s="1">
        <f t="shared" si="12"/>
        <v>5.289745374057353E-3</v>
      </c>
      <c r="I142" s="1">
        <f t="shared" si="13"/>
        <v>0.81231585248010418</v>
      </c>
    </row>
    <row r="143" spans="1:9" x14ac:dyDescent="0.4">
      <c r="A143" s="1">
        <v>13.8</v>
      </c>
      <c r="B143" s="1">
        <f>_xlfn.NORM.S.DIST(((A143)-'1_全損率'!$G$3)/'1_全損率'!$H$3, TRUE)</f>
        <v>0.64867288639154175</v>
      </c>
      <c r="C143" s="1">
        <f>_xlfn.NORM.S.DIST(((A143)-'2_全半壊率'!$G$3)/'2_全半壊率'!$H$3, TRUE)</f>
        <v>0.97014168389916411</v>
      </c>
      <c r="D143" s="1">
        <f>_xlfn.NORM.S.DIST(((A143)-'3_一部損壊以上率'!$G$3)/'3_一部損壊以上率'!$H$3, TRUE)</f>
        <v>0.99509932605419071</v>
      </c>
      <c r="E143" s="1">
        <f t="shared" si="10"/>
        <v>0.64867288639154175</v>
      </c>
      <c r="F143" s="1">
        <f t="shared" si="11"/>
        <v>0.32146879750762236</v>
      </c>
      <c r="G143" s="1">
        <f t="shared" si="11"/>
        <v>2.4957642155026605E-2</v>
      </c>
      <c r="H143" s="1">
        <f t="shared" si="12"/>
        <v>4.9006739458092863E-3</v>
      </c>
      <c r="I143" s="1">
        <f t="shared" si="13"/>
        <v>0.81564669568410952</v>
      </c>
    </row>
    <row r="144" spans="1:9" x14ac:dyDescent="0.4">
      <c r="A144" s="1">
        <v>13.9</v>
      </c>
      <c r="B144" s="1">
        <f>_xlfn.NORM.S.DIST(((A144)-'1_全損率'!$G$3)/'1_全損率'!$H$3, TRUE)</f>
        <v>0.65423146237133945</v>
      </c>
      <c r="C144" s="1">
        <f>_xlfn.NORM.S.DIST(((A144)-'2_全半壊率'!$G$3)/'2_全半壊率'!$H$3, TRUE)</f>
        <v>0.97181343800317599</v>
      </c>
      <c r="D144" s="1">
        <f>_xlfn.NORM.S.DIST(((A144)-'3_一部損壊以上率'!$G$3)/'3_一部損壊以上率'!$H$3, TRUE)</f>
        <v>0.99546268867138687</v>
      </c>
      <c r="E144" s="1">
        <f t="shared" si="10"/>
        <v>0.65423146237133945</v>
      </c>
      <c r="F144" s="1">
        <f t="shared" si="11"/>
        <v>0.31758197563183654</v>
      </c>
      <c r="G144" s="1">
        <f t="shared" si="11"/>
        <v>2.3649250668210886E-2</v>
      </c>
      <c r="H144" s="1">
        <f t="shared" si="12"/>
        <v>4.537311328613125E-3</v>
      </c>
      <c r="I144" s="1">
        <f t="shared" si="13"/>
        <v>0.81893476285431044</v>
      </c>
    </row>
    <row r="145" spans="1:9" x14ac:dyDescent="0.4">
      <c r="A145" s="1">
        <v>14</v>
      </c>
      <c r="B145" s="1">
        <f>_xlfn.NORM.S.DIST(((A145)-'1_全損率'!$G$3)/'1_全損率'!$H$3, TRUE)</f>
        <v>0.65975698930728865</v>
      </c>
      <c r="C145" s="1">
        <f>_xlfn.NORM.S.DIST(((A145)-'2_全半壊率'!$G$3)/'2_全半壊率'!$H$3, TRUE)</f>
        <v>0.97340652936796435</v>
      </c>
      <c r="D145" s="1">
        <f>_xlfn.NORM.S.DIST(((A145)-'3_一部損壊以上率'!$G$3)/'3_一部損壊以上率'!$H$3, TRUE)</f>
        <v>0.99580180357384396</v>
      </c>
      <c r="E145" s="1">
        <f t="shared" si="10"/>
        <v>0.65975698930728865</v>
      </c>
      <c r="F145" s="1">
        <f t="shared" si="11"/>
        <v>0.31364954006067569</v>
      </c>
      <c r="G145" s="1">
        <f t="shared" si="11"/>
        <v>2.2395274205879612E-2</v>
      </c>
      <c r="H145" s="1">
        <f t="shared" si="12"/>
        <v>4.1981964261560423E-3</v>
      </c>
      <c r="I145" s="1">
        <f t="shared" si="13"/>
        <v>0.82218057788909649</v>
      </c>
    </row>
    <row r="146" spans="1:9" x14ac:dyDescent="0.4">
      <c r="A146" s="1">
        <v>14.1</v>
      </c>
      <c r="B146" s="1">
        <f>_xlfn.NORM.S.DIST(((A146)-'1_全損率'!$G$3)/'1_全損率'!$H$3, TRUE)</f>
        <v>0.66524842305903631</v>
      </c>
      <c r="C146" s="1">
        <f>_xlfn.NORM.S.DIST(((A146)-'2_全半壊率'!$G$3)/'2_全半壊率'!$H$3, TRUE)</f>
        <v>0.97492369108193611</v>
      </c>
      <c r="D146" s="1">
        <f>_xlfn.NORM.S.DIST(((A146)-'3_一部損壊以上率'!$G$3)/'3_一部損壊以上率'!$H$3, TRUE)</f>
        <v>0.99611806718849971</v>
      </c>
      <c r="E146" s="1">
        <f t="shared" si="10"/>
        <v>0.66524842305903631</v>
      </c>
      <c r="F146" s="1">
        <f t="shared" si="11"/>
        <v>0.3096752680228998</v>
      </c>
      <c r="G146" s="1">
        <f t="shared" si="11"/>
        <v>2.1194376106563606E-2</v>
      </c>
      <c r="H146" s="1">
        <f t="shared" si="12"/>
        <v>3.8819328115002882E-3</v>
      </c>
      <c r="I146" s="1">
        <f t="shared" si="13"/>
        <v>0.82538465109712711</v>
      </c>
    </row>
    <row r="147" spans="1:9" x14ac:dyDescent="0.4">
      <c r="A147" s="1">
        <v>14.2</v>
      </c>
      <c r="B147" s="1">
        <f>_xlfn.NORM.S.DIST(((A147)-'1_全損率'!$G$3)/'1_全損率'!$H$3, TRUE)</f>
        <v>0.67070474128252278</v>
      </c>
      <c r="C147" s="1">
        <f>_xlfn.NORM.S.DIST(((A147)-'2_全半壊率'!$G$3)/'2_全半壊率'!$H$3, TRUE)</f>
        <v>0.9763676205216737</v>
      </c>
      <c r="D147" s="1">
        <f>_xlfn.NORM.S.DIST(((A147)-'3_一部損壊以上率'!$G$3)/'3_一部損壊以上率'!$H$3, TRUE)</f>
        <v>0.99641281277440075</v>
      </c>
      <c r="E147" s="1">
        <f t="shared" si="10"/>
        <v>0.67070474128252278</v>
      </c>
      <c r="F147" s="1">
        <f t="shared" si="11"/>
        <v>0.30566287923915092</v>
      </c>
      <c r="G147" s="1">
        <f t="shared" si="11"/>
        <v>2.0045192252727051E-2</v>
      </c>
      <c r="H147" s="1">
        <f t="shared" si="12"/>
        <v>3.5871872255992532E-3</v>
      </c>
      <c r="I147" s="1">
        <f t="shared" si="13"/>
        <v>0.82854747896528003</v>
      </c>
    </row>
    <row r="148" spans="1:9" x14ac:dyDescent="0.4">
      <c r="A148" s="1">
        <v>14.3</v>
      </c>
      <c r="B148" s="1">
        <f>_xlfn.NORM.S.DIST(((A148)-'1_全損率'!$G$3)/'1_全損率'!$H$3, TRUE)</f>
        <v>0.67612494398361966</v>
      </c>
      <c r="C148" s="1">
        <f>_xlfn.NORM.S.DIST(((A148)-'2_全半壊率'!$G$3)/'2_全半壊率'!$H$3, TRUE)</f>
        <v>0.9777409760282495</v>
      </c>
      <c r="D148" s="1">
        <f>_xlfn.NORM.S.DIST(((A148)-'3_一部損壊以上率'!$G$3)/'3_一部損壊以上率'!$H$3, TRUE)</f>
        <v>0.99668731199393612</v>
      </c>
      <c r="E148" s="1">
        <f t="shared" si="10"/>
        <v>0.67612494398361966</v>
      </c>
      <c r="F148" s="1">
        <f t="shared" si="11"/>
        <v>0.30161603204462983</v>
      </c>
      <c r="G148" s="1">
        <f t="shared" si="11"/>
        <v>1.8946335965686623E-2</v>
      </c>
      <c r="H148" s="1">
        <f t="shared" si="12"/>
        <v>3.3126880060638797E-3</v>
      </c>
      <c r="I148" s="1">
        <f t="shared" si="13"/>
        <v>0.83166954399735615</v>
      </c>
    </row>
    <row r="149" spans="1:9" x14ac:dyDescent="0.4">
      <c r="A149" s="1">
        <v>14.4</v>
      </c>
      <c r="B149" s="1">
        <f>_xlfn.NORM.S.DIST(((A149)-'1_全損率'!$G$3)/'1_全損率'!$H$3, TRUE)</f>
        <v>0.68150805404810111</v>
      </c>
      <c r="C149" s="1">
        <f>_xlfn.NORM.S.DIST(((A149)-'2_全半壊率'!$G$3)/'2_全半壊率'!$H$3, TRUE)</f>
        <v>0.97904637384109316</v>
      </c>
      <c r="D149" s="1">
        <f>_xlfn.NORM.S.DIST(((A149)-'3_一部損壊以上率'!$G$3)/'3_一部損壊以上率'!$H$3, TRUE)</f>
        <v>0.99694277654378649</v>
      </c>
      <c r="E149" s="1">
        <f t="shared" si="10"/>
        <v>0.68150805404810111</v>
      </c>
      <c r="F149" s="1">
        <f t="shared" si="11"/>
        <v>0.29753831979299206</v>
      </c>
      <c r="G149" s="1">
        <f t="shared" si="11"/>
        <v>1.7896402702693326E-2</v>
      </c>
      <c r="H149" s="1">
        <f t="shared" si="12"/>
        <v>3.0572234562135092E-3</v>
      </c>
      <c r="I149" s="1">
        <f t="shared" si="13"/>
        <v>0.83475131462027041</v>
      </c>
    </row>
    <row r="150" spans="1:9" x14ac:dyDescent="0.4">
      <c r="A150" s="1">
        <v>14.5</v>
      </c>
      <c r="B150" s="1">
        <f>_xlfn.NORM.S.DIST(((A150)-'1_全損率'!$G$3)/'1_全損率'!$H$3, TRUE)</f>
        <v>0.6868531177475059</v>
      </c>
      <c r="C150" s="1">
        <f>_xlfn.NORM.S.DIST(((A150)-'2_全半壊率'!$G$3)/'2_全半壊率'!$H$3, TRUE)</f>
        <v>0.98028638528644008</v>
      </c>
      <c r="D150" s="1">
        <f>_xlfn.NORM.S.DIST(((A150)-'3_一部損壊以上率'!$G$3)/'3_一部損壊以上率'!$H$3, TRUE)</f>
        <v>0.99718035983599584</v>
      </c>
      <c r="E150" s="1">
        <f t="shared" si="10"/>
        <v>0.6868531177475059</v>
      </c>
      <c r="F150" s="1">
        <f t="shared" si="11"/>
        <v>0.29343326753893417</v>
      </c>
      <c r="G150" s="1">
        <f t="shared" si="11"/>
        <v>1.6893974549555768E-2</v>
      </c>
      <c r="H150" s="1">
        <f t="shared" si="12"/>
        <v>2.8196401640041557E-3</v>
      </c>
      <c r="I150" s="1">
        <f t="shared" si="13"/>
        <v>0.83779324515436193</v>
      </c>
    </row>
    <row r="151" spans="1:9" x14ac:dyDescent="0.4">
      <c r="A151" s="1">
        <v>14.6</v>
      </c>
      <c r="B151" s="1">
        <f>_xlfn.NORM.S.DIST(((A151)-'1_全損率'!$G$3)/'1_全損率'!$H$3, TRUE)</f>
        <v>0.69215920522048113</v>
      </c>
      <c r="C151" s="1">
        <f>_xlfn.NORM.S.DIST(((A151)-'2_全半壊率'!$G$3)/'2_全半壊率'!$H$3, TRUE)</f>
        <v>0.98146353421658794</v>
      </c>
      <c r="D151" s="1">
        <f>_xlfn.NORM.S.DIST(((A151)-'3_一部損壊以上率'!$G$3)/'3_一部損壊以上率'!$H$3, TRUE)</f>
        <v>0.99740115872002721</v>
      </c>
      <c r="E151" s="1">
        <f t="shared" si="10"/>
        <v>0.69215920522048113</v>
      </c>
      <c r="F151" s="1">
        <f t="shared" ref="F151:G166" si="14">C151-B151</f>
        <v>0.28930432899610681</v>
      </c>
      <c r="G151" s="1">
        <f t="shared" si="14"/>
        <v>1.5937624503439274E-2</v>
      </c>
      <c r="H151" s="1">
        <f t="shared" si="12"/>
        <v>2.5988412799727856E-3</v>
      </c>
      <c r="I151" s="1">
        <f t="shared" si="13"/>
        <v>0.84079577584439436</v>
      </c>
    </row>
    <row r="152" spans="1:9" x14ac:dyDescent="0.4">
      <c r="A152" s="1">
        <v>14.7</v>
      </c>
      <c r="B152" s="1">
        <f>_xlfn.NORM.S.DIST(((A152)-'1_全損率'!$G$3)/'1_全損率'!$H$3, TRUE)</f>
        <v>0.69742541092924026</v>
      </c>
      <c r="C152" s="1">
        <f>_xlfn.NORM.S.DIST(((A152)-'2_全半壊率'!$G$3)/'2_全半壊率'!$H$3, TRUE)</f>
        <v>0.98258029469543384</v>
      </c>
      <c r="D152" s="1">
        <f>_xlfn.NORM.S.DIST(((A152)-'3_一部損壊以上率'!$G$3)/'3_一部損壊以上率'!$H$3, TRUE)</f>
        <v>0.99760621523713189</v>
      </c>
      <c r="E152" s="1">
        <f t="shared" si="10"/>
        <v>0.69742541092924026</v>
      </c>
      <c r="F152" s="1">
        <f t="shared" si="14"/>
        <v>0.28515488376619358</v>
      </c>
      <c r="G152" s="1">
        <f t="shared" si="14"/>
        <v>1.5025920541698046E-2</v>
      </c>
      <c r="H152" s="1">
        <f t="shared" si="12"/>
        <v>2.3937847628681119E-3</v>
      </c>
      <c r="I152" s="1">
        <f t="shared" si="13"/>
        <v>0.84375933294776162</v>
      </c>
    </row>
    <row r="153" spans="1:9" x14ac:dyDescent="0.4">
      <c r="A153" s="1">
        <v>14.8</v>
      </c>
      <c r="B153" s="1">
        <f>_xlfn.NORM.S.DIST(((A153)-'1_全損率'!$G$3)/'1_全損率'!$H$3, TRUE)</f>
        <v>0.70265085409079653</v>
      </c>
      <c r="C153" s="1">
        <f>_xlfn.NORM.S.DIST(((A153)-'2_全半壊率'!$G$3)/'2_全半壊率'!$H$3, TRUE)</f>
        <v>0.98363908892508101</v>
      </c>
      <c r="D153" s="1">
        <f>_xlfn.NORM.S.DIST(((A153)-'3_一部損壊以上率'!$G$3)/'3_一部損壊以上率'!$H$3, TRUE)</f>
        <v>0.9977965183988371</v>
      </c>
      <c r="E153" s="1">
        <f t="shared" si="10"/>
        <v>0.70265085409079653</v>
      </c>
      <c r="F153" s="1">
        <f t="shared" si="14"/>
        <v>0.28098823483428448</v>
      </c>
      <c r="G153" s="1">
        <f t="shared" si="14"/>
        <v>1.4157429473756089E-2</v>
      </c>
      <c r="H153" s="1">
        <f t="shared" si="12"/>
        <v>2.2034816011629044E-3</v>
      </c>
      <c r="I153" s="1">
        <f t="shared" si="13"/>
        <v>0.84668432887637779</v>
      </c>
    </row>
    <row r="154" spans="1:9" x14ac:dyDescent="0.4">
      <c r="A154" s="1">
        <v>14.9</v>
      </c>
      <c r="B154" s="1">
        <f>_xlfn.NORM.S.DIST(((A154)-'1_全損率'!$G$3)/'1_全損率'!$H$3, TRUE)</f>
        <v>0.70783467908267617</v>
      </c>
      <c r="C154" s="1">
        <f>_xlfn.NORM.S.DIST(((A154)-'2_全半壊率'!$G$3)/'2_全半壊率'!$H$3, TRUE)</f>
        <v>0.98464228540765997</v>
      </c>
      <c r="D154" s="1">
        <f>_xlfn.NORM.S.DIST(((A154)-'3_一部損壊以上率'!$G$3)/'3_一部損壊以上率'!$H$3, TRUE)</f>
        <v>0.99797300598183847</v>
      </c>
      <c r="E154" s="1">
        <f t="shared" si="10"/>
        <v>0.70783467908267617</v>
      </c>
      <c r="F154" s="1">
        <f t="shared" si="14"/>
        <v>0.2768076063249838</v>
      </c>
      <c r="G154" s="1">
        <f t="shared" si="14"/>
        <v>1.3330720574178501E-2</v>
      </c>
      <c r="H154" s="1">
        <f t="shared" si="12"/>
        <v>2.026994018161532E-3</v>
      </c>
      <c r="I154" s="1">
        <f t="shared" si="13"/>
        <v>0.84957116238871266</v>
      </c>
    </row>
    <row r="155" spans="1:9" x14ac:dyDescent="0.4">
      <c r="A155" s="1">
        <v>15</v>
      </c>
      <c r="B155" s="1">
        <f>_xlfn.NORM.S.DIST(((A155)-'1_全損率'!$G$3)/'1_全損率'!$H$3, TRUE)</f>
        <v>0.71297605582284906</v>
      </c>
      <c r="C155" s="1">
        <f>_xlfn.NORM.S.DIST(((A155)-'2_全半壊率'!$G$3)/'2_全半壊率'!$H$3, TRUE)</f>
        <v>0.98559219733594172</v>
      </c>
      <c r="D155" s="1">
        <f>_xlfn.NORM.S.DIST(((A155)-'3_一部損壊以上率'!$G$3)/'3_一部損壊以上率'!$H$3, TRUE)</f>
        <v>0.99813656633206671</v>
      </c>
      <c r="E155" s="1">
        <f t="shared" si="10"/>
        <v>0.71297605582284906</v>
      </c>
      <c r="F155" s="1">
        <f t="shared" si="14"/>
        <v>0.27261614151309266</v>
      </c>
      <c r="G155" s="1">
        <f t="shared" si="14"/>
        <v>1.2544368996124988E-2</v>
      </c>
      <c r="H155" s="1">
        <f t="shared" si="12"/>
        <v>1.8634336679332897E-3</v>
      </c>
      <c r="I155" s="1">
        <f t="shared" si="13"/>
        <v>0.85242021882842656</v>
      </c>
    </row>
    <row r="156" spans="1:9" x14ac:dyDescent="0.4">
      <c r="A156" s="1">
        <v>15.1</v>
      </c>
      <c r="B156" s="1">
        <f>_xlfn.NORM.S.DIST(((A156)-'1_全損率'!$G$3)/'1_全損率'!$H$3, TRUE)</f>
        <v>0.7180741801236501</v>
      </c>
      <c r="C156" s="1">
        <f>_xlfn.NORM.S.DIST(((A156)-'2_全半壊率'!$G$3)/'2_全半壊率'!$H$3, TRUE)</f>
        <v>0.98649108120579476</v>
      </c>
      <c r="D156" s="1">
        <f>_xlfn.NORM.S.DIST(((A156)-'3_一部損壊以上率'!$G$3)/'3_一部損壊以上率'!$H$3, TRUE)</f>
        <v>0.99828804017118022</v>
      </c>
      <c r="E156" s="1">
        <f t="shared" si="10"/>
        <v>0.7180741801236501</v>
      </c>
      <c r="F156" s="1">
        <f t="shared" si="14"/>
        <v>0.26841690108214467</v>
      </c>
      <c r="G156" s="1">
        <f t="shared" si="14"/>
        <v>1.1796958965385462E-2</v>
      </c>
      <c r="H156" s="1">
        <f t="shared" si="12"/>
        <v>1.7119598288197757E-3</v>
      </c>
      <c r="I156" s="1">
        <f t="shared" si="13"/>
        <v>0.85523187040606885</v>
      </c>
    </row>
    <row r="157" spans="1:9" x14ac:dyDescent="0.4">
      <c r="A157" s="1">
        <v>15.2</v>
      </c>
      <c r="B157" s="1">
        <f>_xlfn.NORM.S.DIST(((A157)-'1_全損率'!$G$3)/'1_全損率'!$H$3, TRUE)</f>
        <v>0.72312827401950663</v>
      </c>
      <c r="C157" s="1">
        <f>_xlfn.NORM.S.DIST(((A157)-'2_全半壊率'!$G$3)/'2_全半壊率'!$H$3, TRUE)</f>
        <v>0.98734113564307935</v>
      </c>
      <c r="D157" s="1">
        <f>_xlfn.NORM.S.DIST(((A157)-'3_一部損壊以上率'!$G$3)/'3_一部損壊以上率'!$H$3, TRUE)</f>
        <v>0.99842822239921702</v>
      </c>
      <c r="E157" s="1">
        <f t="shared" si="10"/>
        <v>0.72312827401950663</v>
      </c>
      <c r="F157" s="1">
        <f t="shared" si="14"/>
        <v>0.26421286162357271</v>
      </c>
      <c r="G157" s="1">
        <f t="shared" si="14"/>
        <v>1.1087086756137676E-2</v>
      </c>
      <c r="H157" s="1">
        <f t="shared" si="12"/>
        <v>1.5717776007829753E-3</v>
      </c>
      <c r="I157" s="1">
        <f t="shared" si="13"/>
        <v>0.85800647652032735</v>
      </c>
    </row>
    <row r="158" spans="1:9" x14ac:dyDescent="0.4">
      <c r="A158" s="1">
        <v>15.3</v>
      </c>
      <c r="B158" s="1">
        <f>_xlfn.NORM.S.DIST(((A158)-'1_全損率'!$G$3)/'1_全損率'!$H$3, TRUE)</f>
        <v>0.72813758606831736</v>
      </c>
      <c r="C158" s="1">
        <f>_xlfn.NORM.S.DIST(((A158)-'2_全半壊率'!$G$3)/'2_全半壊率'!$H$3, TRUE)</f>
        <v>0.98814450043716862</v>
      </c>
      <c r="D158" s="1">
        <f>_xlfn.NORM.S.DIST(((A158)-'3_一部損壊以上率'!$G$3)/'3_一部損壊以上率'!$H$3, TRUE)</f>
        <v>0.99855786388761247</v>
      </c>
      <c r="E158" s="1">
        <f t="shared" si="10"/>
        <v>0.72813758606831736</v>
      </c>
      <c r="F158" s="1">
        <f t="shared" si="14"/>
        <v>0.26000691436885126</v>
      </c>
      <c r="G158" s="1">
        <f t="shared" si="14"/>
        <v>1.0413363450443858E-2</v>
      </c>
      <c r="H158" s="1">
        <f t="shared" si="12"/>
        <v>1.4421361123875265E-3</v>
      </c>
      <c r="I158" s="1">
        <f t="shared" si="13"/>
        <v>0.86074438411535392</v>
      </c>
    </row>
    <row r="159" spans="1:9" x14ac:dyDescent="0.4">
      <c r="A159" s="1">
        <v>15.4</v>
      </c>
      <c r="B159" s="1">
        <f>_xlfn.NORM.S.DIST(((A159)-'1_全損率'!$G$3)/'1_全損率'!$H$3, TRUE)</f>
        <v>0.73310139162637056</v>
      </c>
      <c r="C159" s="1">
        <f>_xlfn.NORM.S.DIST(((A159)-'2_全半壊率'!$G$3)/'2_全半壊率'!$H$3, TRUE)</f>
        <v>0.98890325577293192</v>
      </c>
      <c r="D159" s="1">
        <f>_xlfn.NORM.S.DIST(((A159)-'3_一部損壊以上率'!$G$3)/'3_一部損壊以上率'!$H$3, TRUE)</f>
        <v>0.99867767325725532</v>
      </c>
      <c r="E159" s="1">
        <f t="shared" si="10"/>
        <v>0.73310139162637056</v>
      </c>
      <c r="F159" s="1">
        <f t="shared" si="14"/>
        <v>0.25580186414656136</v>
      </c>
      <c r="G159" s="1">
        <f t="shared" si="14"/>
        <v>9.7744174843233944E-3</v>
      </c>
      <c r="H159" s="1">
        <f t="shared" si="12"/>
        <v>1.3223267427446839E-3</v>
      </c>
      <c r="I159" s="1">
        <f t="shared" si="13"/>
        <v>0.86344592807073206</v>
      </c>
    </row>
    <row r="160" spans="1:9" x14ac:dyDescent="0.4">
      <c r="A160" s="1">
        <v>15.5</v>
      </c>
      <c r="B160" s="1">
        <f>_xlfn.NORM.S.DIST(((A160)-'1_全損率'!$G$3)/'1_全損率'!$H$3, TRUE)</f>
        <v>0.73801899309672347</v>
      </c>
      <c r="C160" s="1">
        <f>_xlfn.NORM.S.DIST(((A160)-'2_全半壊率'!$G$3)/'2_全半壊率'!$H$3, TRUE)</f>
        <v>0.98961942165272565</v>
      </c>
      <c r="D160" s="1">
        <f>_xlfn.NORM.S.DIST(((A160)-'3_一部損壊以上率'!$G$3)/'3_一部損壊以上率'!$H$3, TRUE)</f>
        <v>0.99878831863671447</v>
      </c>
      <c r="E160" s="1">
        <f t="shared" si="10"/>
        <v>0.73801899309672347</v>
      </c>
      <c r="F160" s="1">
        <f t="shared" si="14"/>
        <v>0.25160042855600218</v>
      </c>
      <c r="G160" s="1">
        <f t="shared" si="14"/>
        <v>9.1688969839888168E-3</v>
      </c>
      <c r="H160" s="1">
        <f t="shared" si="12"/>
        <v>1.2116813632855328E-3</v>
      </c>
      <c r="I160" s="1">
        <f t="shared" si="13"/>
        <v>0.86611143162072179</v>
      </c>
    </row>
    <row r="161" spans="1:9" x14ac:dyDescent="0.4">
      <c r="A161" s="1">
        <v>15.6</v>
      </c>
      <c r="B161" s="1">
        <f>_xlfn.NORM.S.DIST(((A161)-'1_全損率'!$G$3)/'1_全損率'!$H$3, TRUE)</f>
        <v>0.74288972015100208</v>
      </c>
      <c r="C161" s="1">
        <f>_xlfn.NORM.S.DIST(((A161)-'2_全半壊率'!$G$3)/'2_全半壊率'!$H$3, TRUE)</f>
        <v>0.99029495749969187</v>
      </c>
      <c r="D161" s="1">
        <f>_xlfn.NORM.S.DIST(((A161)-'3_一部損壊以上率'!$G$3)/'3_一部損壊以上率'!$H$3, TRUE)</f>
        <v>0.99889042939621364</v>
      </c>
      <c r="E161" s="1">
        <f t="shared" si="10"/>
        <v>0.74288972015100208</v>
      </c>
      <c r="F161" s="1">
        <f t="shared" si="14"/>
        <v>0.2474052373486898</v>
      </c>
      <c r="G161" s="1">
        <f t="shared" si="14"/>
        <v>8.5954718965217669E-3</v>
      </c>
      <c r="H161" s="1">
        <f t="shared" si="12"/>
        <v>1.1095706037863584E-3</v>
      </c>
      <c r="I161" s="1">
        <f t="shared" si="13"/>
        <v>0.86874120679947731</v>
      </c>
    </row>
    <row r="162" spans="1:9" x14ac:dyDescent="0.4">
      <c r="A162" s="1">
        <v>15.7</v>
      </c>
      <c r="B162" s="1">
        <f>_xlfn.NORM.S.DIST(((A162)-'1_全損率'!$G$3)/'1_全損率'!$H$3, TRUE)</f>
        <v>0.74771292992461447</v>
      </c>
      <c r="C162" s="1">
        <f>_xlfn.NORM.S.DIST(((A162)-'2_全半壊率'!$G$3)/'2_全半壊率'!$H$3, TRUE)</f>
        <v>0.99093176193347354</v>
      </c>
      <c r="D162" s="1">
        <f>_xlfn.NORM.S.DIST(((A162)-'3_一部損壊以上率'!$G$3)/'3_一部損壊以上率'!$H$3, TRUE)</f>
        <v>0.99898459785336291</v>
      </c>
      <c r="E162" s="1">
        <f t="shared" si="10"/>
        <v>0.74771292992461447</v>
      </c>
      <c r="F162" s="1">
        <f t="shared" si="14"/>
        <v>0.24321883200885908</v>
      </c>
      <c r="G162" s="1">
        <f t="shared" si="14"/>
        <v>8.0528359198893673E-3</v>
      </c>
      <c r="H162" s="1">
        <f t="shared" si="12"/>
        <v>1.0154021466370899E-3</v>
      </c>
      <c r="I162" s="1">
        <f t="shared" si="13"/>
        <v>0.87133555490901637</v>
      </c>
    </row>
    <row r="163" spans="1:9" x14ac:dyDescent="0.4">
      <c r="A163" s="1">
        <v>15.8</v>
      </c>
      <c r="B163" s="1">
        <f>_xlfn.NORM.S.DIST(((A163)-'1_全損率'!$G$3)/'1_全損率'!$H$3, TRUE)</f>
        <v>0.75248800718541276</v>
      </c>
      <c r="C163" s="1">
        <f>_xlfn.NORM.S.DIST(((A163)-'2_全半壊率'!$G$3)/'2_全半壊率'!$H$3, TRUE)</f>
        <v>0.99153167270931475</v>
      </c>
      <c r="D163" s="1">
        <f>_xlfn.NORM.S.DIST(((A163)-'3_一部損壊以上率'!$G$3)/'3_一部損壊以上率'!$H$3, TRUE)</f>
        <v>0.99907138094707826</v>
      </c>
      <c r="E163" s="1">
        <f t="shared" si="10"/>
        <v>0.75248800718541276</v>
      </c>
      <c r="F163" s="1">
        <f t="shared" si="14"/>
        <v>0.23904366552390199</v>
      </c>
      <c r="G163" s="1">
        <f t="shared" si="14"/>
        <v>7.5397082377635094E-3</v>
      </c>
      <c r="H163" s="1">
        <f t="shared" si="12"/>
        <v>9.2861905292174196E-4</v>
      </c>
      <c r="I163" s="1">
        <f t="shared" si="13"/>
        <v>0.87389476700680457</v>
      </c>
    </row>
    <row r="164" spans="1:9" x14ac:dyDescent="0.4">
      <c r="A164" s="1">
        <v>15.9</v>
      </c>
      <c r="B164" s="1">
        <f>_xlfn.NORM.S.DIST(((A164)-'1_全損率'!$G$3)/'1_全損率'!$H$3, TRUE)</f>
        <v>0.75721436447586465</v>
      </c>
      <c r="C164" s="1">
        <f>_xlfn.NORM.S.DIST(((A164)-'2_全半壊率'!$G$3)/'2_全半壊率'!$H$3, TRUE)</f>
        <v>0.99209646681141728</v>
      </c>
      <c r="D164" s="1">
        <f>_xlfn.NORM.S.DIST(((A164)-'3_一部損壊以上率'!$G$3)/'3_一部損壊以上率'!$H$3, TRUE)</f>
        <v>0.99915130187652179</v>
      </c>
      <c r="E164" s="1">
        <f t="shared" si="10"/>
        <v>0.75721436447586465</v>
      </c>
      <c r="F164" s="1">
        <f t="shared" si="14"/>
        <v>0.23488210233555262</v>
      </c>
      <c r="G164" s="1">
        <f t="shared" si="14"/>
        <v>7.0548350651045144E-3</v>
      </c>
      <c r="H164" s="1">
        <f t="shared" si="12"/>
        <v>8.4869812347820872E-4</v>
      </c>
      <c r="I164" s="1">
        <f t="shared" si="13"/>
        <v>0.87641912440991709</v>
      </c>
    </row>
    <row r="165" spans="1:9" x14ac:dyDescent="0.4">
      <c r="A165" s="1">
        <v>16</v>
      </c>
      <c r="B165" s="1">
        <f>_xlfn.NORM.S.DIST(((A165)-'1_全損率'!$G$3)/'1_全損率'!$H$3, TRUE)</f>
        <v>0.7618914422288422</v>
      </c>
      <c r="C165" s="1">
        <f>_xlfn.NORM.S.DIST(((A165)-'2_全半壊率'!$G$3)/'2_全半壊率'!$H$3, TRUE)</f>
        <v>0.99262786069137765</v>
      </c>
      <c r="D165" s="1">
        <f>_xlfn.NORM.S.DIST(((A165)-'3_一部損壊以上率'!$G$3)/'3_一部損壊以上率'!$H$3, TRUE)</f>
        <v>0.99922485170228281</v>
      </c>
      <c r="E165" s="1">
        <f t="shared" si="10"/>
        <v>0.7618914422288422</v>
      </c>
      <c r="F165" s="1">
        <f t="shared" si="14"/>
        <v>0.23073641846253545</v>
      </c>
      <c r="G165" s="1">
        <f t="shared" si="14"/>
        <v>6.5969910109051622E-3</v>
      </c>
      <c r="H165" s="1">
        <f t="shared" si="12"/>
        <v>7.7514829771718752E-4</v>
      </c>
      <c r="I165" s="1">
        <f t="shared" si="13"/>
        <v>0.87890889921283621</v>
      </c>
    </row>
    <row r="166" spans="1:9" x14ac:dyDescent="0.4">
      <c r="A166" s="1">
        <v>16.100000000000001</v>
      </c>
      <c r="B166" s="1">
        <f>_xlfn.NORM.S.DIST(((A166)-'1_全損率'!$G$3)/'1_全損率'!$H$3, TRUE)</f>
        <v>0.76651870885715812</v>
      </c>
      <c r="C166" s="1">
        <f>_xlfn.NORM.S.DIST(((A166)-'2_全半壊率'!$G$3)/'2_全半壊率'!$H$3, TRUE)</f>
        <v>0.99312751064251914</v>
      </c>
      <c r="D166" s="1">
        <f>_xlfn.NORM.S.DIST(((A166)-'3_一部損壊以上率'!$G$3)/'3_一部損壊以上率'!$H$3, TRUE)</f>
        <v>0.99929249090739114</v>
      </c>
      <c r="E166" s="1">
        <f t="shared" si="10"/>
        <v>0.76651870885715812</v>
      </c>
      <c r="F166" s="1">
        <f t="shared" si="14"/>
        <v>0.22660880178536102</v>
      </c>
      <c r="G166" s="1">
        <f t="shared" si="14"/>
        <v>6.1649802648719998E-3</v>
      </c>
      <c r="H166" s="1">
        <f t="shared" si="12"/>
        <v>7.0750909260886008E-4</v>
      </c>
      <c r="I166" s="1">
        <f t="shared" si="13"/>
        <v>0.88136435481605657</v>
      </c>
    </row>
    <row r="167" spans="1:9" x14ac:dyDescent="0.4">
      <c r="A167" s="1">
        <v>16.2</v>
      </c>
      <c r="B167" s="1">
        <f>_xlfn.NORM.S.DIST(((A167)-'1_全損率'!$G$3)/'1_全損率'!$H$3, TRUE)</f>
        <v>0.77109566081702496</v>
      </c>
      <c r="C167" s="1">
        <f>_xlfn.NORM.S.DIST(((A167)-'2_全半壊率'!$G$3)/'2_全半壊率'!$H$3, TRUE)</f>
        <v>0.99359701330096706</v>
      </c>
      <c r="D167" s="1">
        <f>_xlfn.NORM.S.DIST(((A167)-'3_一部損壊以上率'!$G$3)/'3_一部損壊以上率'!$H$3, TRUE)</f>
        <v>0.99935465091610631</v>
      </c>
      <c r="E167" s="1">
        <f t="shared" si="10"/>
        <v>0.77109566081702496</v>
      </c>
      <c r="F167" s="1">
        <f t="shared" ref="F167:G205" si="15">C167-B167</f>
        <v>0.22250135248394209</v>
      </c>
      <c r="G167" s="1">
        <f t="shared" si="15"/>
        <v>5.757637615139255E-3</v>
      </c>
      <c r="H167" s="1">
        <f t="shared" si="12"/>
        <v>6.4534908389368706E-4</v>
      </c>
      <c r="I167" s="1">
        <f t="shared" si="13"/>
        <v>0.88378574646278085</v>
      </c>
    </row>
    <row r="168" spans="1:9" x14ac:dyDescent="0.4">
      <c r="A168" s="1">
        <v>16.3</v>
      </c>
      <c r="B168" s="1">
        <f>_xlfn.NORM.S.DIST(((A168)-'1_全損率'!$G$3)/'1_全損率'!$H$3, TRUE)</f>
        <v>0.77562182264563695</v>
      </c>
      <c r="C168" s="1">
        <f>_xlfn.NORM.S.DIST(((A168)-'2_全半壊率'!$G$3)/'2_全半壊率'!$H$3, TRUE)</f>
        <v>0.99403790626438737</v>
      </c>
      <c r="D168" s="1">
        <f>_xlfn.NORM.S.DIST(((A168)-'3_一部損壊以上率'!$G$3)/'3_一部損壊以上率'!$H$3, TRUE)</f>
        <v>0.9994117355687584</v>
      </c>
      <c r="E168" s="1">
        <f t="shared" si="10"/>
        <v>0.77562182264563695</v>
      </c>
      <c r="F168" s="1">
        <f t="shared" si="15"/>
        <v>0.21841608361875042</v>
      </c>
      <c r="G168" s="1">
        <f t="shared" si="15"/>
        <v>5.373829304371025E-3</v>
      </c>
      <c r="H168" s="1">
        <f t="shared" si="12"/>
        <v>5.8826443124160299E-4</v>
      </c>
      <c r="I168" s="1">
        <f t="shared" si="13"/>
        <v>0.88617332178110486</v>
      </c>
    </row>
    <row r="169" spans="1:9" x14ac:dyDescent="0.4">
      <c r="A169" s="1">
        <v>16.399999999999999</v>
      </c>
      <c r="B169" s="1">
        <f>_xlfn.NORM.S.DIST(((A169)-'1_全損率'!$G$3)/'1_全損率'!$H$3, TRUE)</f>
        <v>0.78009674697311171</v>
      </c>
      <c r="C169" s="1">
        <f>_xlfn.NORM.S.DIST(((A169)-'2_全半壊率'!$G$3)/'2_全半壊率'!$H$3, TRUE)</f>
        <v>0.9944516688194116</v>
      </c>
      <c r="D169" s="1">
        <f>_xlfn.NORM.S.DIST(((A169)-'3_一部損壊以上率'!$G$3)/'3_一部損壊以上率'!$H$3, TRUE)</f>
        <v>0.99946412255123529</v>
      </c>
      <c r="E169" s="1">
        <f t="shared" si="10"/>
        <v>0.78009674697311171</v>
      </c>
      <c r="F169" s="1">
        <f t="shared" si="15"/>
        <v>0.2143549218462999</v>
      </c>
      <c r="G169" s="1">
        <f t="shared" si="15"/>
        <v>5.012453731823685E-3</v>
      </c>
      <c r="H169" s="1">
        <f t="shared" si="12"/>
        <v>5.3587744876471E-4</v>
      </c>
      <c r="I169" s="1">
        <f t="shared" si="13"/>
        <v>0.88852732132921752</v>
      </c>
    </row>
    <row r="170" spans="1:9" x14ac:dyDescent="0.4">
      <c r="A170" s="1">
        <v>16.5</v>
      </c>
      <c r="B170" s="1">
        <f>_xlfn.NORM.S.DIST(((A170)-'1_全損率'!$G$3)/'1_全損率'!$H$3, TRUE)</f>
        <v>0.7845200145090625</v>
      </c>
      <c r="C170" s="1">
        <f>_xlfn.NORM.S.DIST(((A170)-'2_全半壊率'!$G$3)/'2_全半壊率'!$H$3, TRUE)</f>
        <v>0.99483972276891397</v>
      </c>
      <c r="D170" s="1">
        <f>_xlfn.NORM.S.DIST(((A170)-'3_一部損壊以上率'!$G$3)/'3_一部損壊以上率'!$H$3, TRUE)</f>
        <v>0.99951216477800442</v>
      </c>
      <c r="E170" s="1">
        <f t="shared" si="10"/>
        <v>0.7845200145090625</v>
      </c>
      <c r="F170" s="1">
        <f t="shared" si="15"/>
        <v>0.21031970825985147</v>
      </c>
      <c r="G170" s="1">
        <f t="shared" si="15"/>
        <v>4.6724420090904495E-3</v>
      </c>
      <c r="H170" s="1">
        <f t="shared" si="12"/>
        <v>4.878352219955806E-4</v>
      </c>
      <c r="I170" s="1">
        <f t="shared" si="13"/>
        <v>0.89084797914126079</v>
      </c>
    </row>
    <row r="171" spans="1:9" x14ac:dyDescent="0.4">
      <c r="A171" s="1">
        <v>16.600000000000001</v>
      </c>
      <c r="B171" s="1">
        <f>_xlfn.NORM.S.DIST(((A171)-'1_全損率'!$G$3)/'1_全損率'!$H$3, TRUE)</f>
        <v>0.78889123400409555</v>
      </c>
      <c r="C171" s="1">
        <f>_xlfn.NORM.S.DIST(((A171)-'2_全半壊率'!$G$3)/'2_全半壊率'!$H$3, TRUE)</f>
        <v>0.99520343335046824</v>
      </c>
      <c r="D171" s="1">
        <f>_xlfn.NORM.S.DIST(((A171)-'3_一部損壊以上率'!$G$3)/'3_一部損壊以上率'!$H$3, TRUE)</f>
        <v>0.99955619172783705</v>
      </c>
      <c r="E171" s="1">
        <f t="shared" si="10"/>
        <v>0.78889123400409555</v>
      </c>
      <c r="F171" s="1">
        <f t="shared" si="15"/>
        <v>0.20631219934637268</v>
      </c>
      <c r="G171" s="1">
        <f t="shared" si="15"/>
        <v>4.352758377368815E-3</v>
      </c>
      <c r="H171" s="1">
        <f t="shared" si="12"/>
        <v>4.4380827216294882E-4</v>
      </c>
      <c r="I171" s="1">
        <f t="shared" si="13"/>
        <v>0.89313552327162404</v>
      </c>
    </row>
    <row r="172" spans="1:9" x14ac:dyDescent="0.4">
      <c r="A172" s="1">
        <v>16.7</v>
      </c>
      <c r="B172" s="1">
        <f>_xlfn.NORM.S.DIST(((A172)-'1_全損率'!$G$3)/'1_全損率'!$H$3, TRUE)</f>
        <v>0.79321004218656732</v>
      </c>
      <c r="C172" s="1">
        <f>_xlfn.NORM.S.DIST(((A172)-'2_全半壊率'!$G$3)/'2_全半壊率'!$H$3, TRUE)</f>
        <v>0.99554411023751377</v>
      </c>
      <c r="D172" s="1">
        <f>_xlfn.NORM.S.DIST(((A172)-'3_一部損壊以上率'!$G$3)/'3_一部損壊以上率'!$H$3, TRUE)</f>
        <v>0.99959651073166</v>
      </c>
      <c r="E172" s="1">
        <f t="shared" si="10"/>
        <v>0.79321004218656732</v>
      </c>
      <c r="F172" s="1">
        <f t="shared" si="15"/>
        <v>0.20233406805094645</v>
      </c>
      <c r="G172" s="1">
        <f t="shared" si="15"/>
        <v>4.0524004941462355E-3</v>
      </c>
      <c r="H172" s="1">
        <f t="shared" si="12"/>
        <v>4.0348926833999599E-4</v>
      </c>
      <c r="I172" s="1">
        <f t="shared" si="13"/>
        <v>0.89539017633557716</v>
      </c>
    </row>
    <row r="173" spans="1:9" x14ac:dyDescent="0.4">
      <c r="A173" s="1">
        <v>16.8</v>
      </c>
      <c r="B173" s="1">
        <f>_xlfn.NORM.S.DIST(((A173)-'1_全損率'!$G$3)/'1_全損率'!$H$3, TRUE)</f>
        <v>0.79747610367495814</v>
      </c>
      <c r="C173" s="1">
        <f>_xlfn.NORM.S.DIST(((A173)-'2_全半壊率'!$G$3)/'2_全半壊率'!$H$3, TRUE)</f>
        <v>0.9958630086149759</v>
      </c>
      <c r="D173" s="1">
        <f>_xlfn.NORM.S.DIST(((A173)-'3_一部損壊以上率'!$G$3)/'3_一部損壊以上率'!$H$3, TRUE)</f>
        <v>0.99963340821220315</v>
      </c>
      <c r="E173" s="1">
        <f t="shared" si="10"/>
        <v>0.79747610367495814</v>
      </c>
      <c r="F173" s="1">
        <f t="shared" si="15"/>
        <v>0.19838690494001776</v>
      </c>
      <c r="G173" s="1">
        <f t="shared" si="15"/>
        <v>3.7703995972272475E-3</v>
      </c>
      <c r="H173" s="1">
        <f t="shared" si="12"/>
        <v>3.6659178779685497E-4</v>
      </c>
      <c r="I173" s="1">
        <f t="shared" si="13"/>
        <v>0.8976121560442738</v>
      </c>
    </row>
    <row r="174" spans="1:9" x14ac:dyDescent="0.4">
      <c r="A174" s="1">
        <v>16.899999999999999</v>
      </c>
      <c r="B174" s="1">
        <f>_xlfn.NORM.S.DIST(((A174)-'1_全損率'!$G$3)/'1_全損率'!$H$3, TRUE)</f>
        <v>0.80168911086625028</v>
      </c>
      <c r="C174" s="1">
        <f>_xlfn.NORM.S.DIST(((A174)-'2_全半壊率'!$G$3)/'2_全半壊率'!$H$3, TRUE)</f>
        <v>0.99616133032132825</v>
      </c>
      <c r="D174" s="1">
        <f>_xlfn.NORM.S.DIST(((A174)-'3_一部損壊以上率'!$G$3)/'3_一部損壊以上率'!$H$3, TRUE)</f>
        <v>0.99966715087532865</v>
      </c>
      <c r="E174" s="1">
        <f t="shared" si="10"/>
        <v>0.80168911086625028</v>
      </c>
      <c r="F174" s="1">
        <f t="shared" si="15"/>
        <v>0.19447221945507798</v>
      </c>
      <c r="G174" s="1">
        <f t="shared" si="15"/>
        <v>3.5058205540003939E-3</v>
      </c>
      <c r="H174" s="1">
        <f t="shared" si="12"/>
        <v>3.3284912467135275E-4</v>
      </c>
      <c r="I174" s="1">
        <f t="shared" si="13"/>
        <v>0.89980167573228931</v>
      </c>
    </row>
    <row r="175" spans="1:9" x14ac:dyDescent="0.4">
      <c r="A175" s="1">
        <v>17</v>
      </c>
      <c r="B175" s="1">
        <f>_xlfn.NORM.S.DIST(((A175)-'1_全損率'!$G$3)/'1_全損率'!$H$3, TRUE)</f>
        <v>0.805848783800728</v>
      </c>
      <c r="C175" s="1">
        <f>_xlfn.NORM.S.DIST(((A175)-'2_全半壊率'!$G$3)/'2_全半壊率'!$H$3, TRUE)</f>
        <v>0.99644022504934726</v>
      </c>
      <c r="D175" s="1">
        <f>_xlfn.NORM.S.DIST(((A175)-'3_一部損壊以上率'!$G$3)/'3_一部損壊以上率'!$H$3, TRUE)</f>
        <v>0.99969798685313493</v>
      </c>
      <c r="E175" s="1">
        <f t="shared" si="10"/>
        <v>0.805848783800728</v>
      </c>
      <c r="F175" s="1">
        <f t="shared" si="15"/>
        <v>0.19059144124861926</v>
      </c>
      <c r="G175" s="1">
        <f t="shared" si="15"/>
        <v>3.2577618037876732E-3</v>
      </c>
      <c r="H175" s="1">
        <f t="shared" si="12"/>
        <v>3.0201314686506553E-4</v>
      </c>
      <c r="I175" s="1">
        <f t="shared" si="13"/>
        <v>0.9019589448759846</v>
      </c>
    </row>
    <row r="176" spans="1:9" x14ac:dyDescent="0.4">
      <c r="A176" s="1">
        <v>17.100000000000001</v>
      </c>
      <c r="B176" s="1">
        <f>_xlfn.NORM.S.DIST(((A176)-'1_全損率'!$G$3)/'1_全損率'!$H$3, TRUE)</f>
        <v>0.80995487000363897</v>
      </c>
      <c r="C176" s="1">
        <f>_xlfn.NORM.S.DIST(((A176)-'2_全半壊率'!$G$3)/'2_全半壊率'!$H$3, TRUE)</f>
        <v>0.99670079159808522</v>
      </c>
      <c r="D176" s="1">
        <f>_xlfn.NORM.S.DIST(((A176)-'3_一部損壊以上率'!$G$3)/'3_一部損壊以上率'!$H$3, TRUE)</f>
        <v>0.99972614679911342</v>
      </c>
      <c r="E176" s="1">
        <f t="shared" si="10"/>
        <v>0.80995487000363897</v>
      </c>
      <c r="F176" s="1">
        <f t="shared" si="15"/>
        <v>0.18674592159444625</v>
      </c>
      <c r="G176" s="1">
        <f t="shared" si="15"/>
        <v>3.0253552010282014E-3</v>
      </c>
      <c r="H176" s="1">
        <f t="shared" si="12"/>
        <v>2.7385320088657572E-4</v>
      </c>
      <c r="I176" s="1">
        <f t="shared" si="13"/>
        <v>0.90408416960111915</v>
      </c>
    </row>
    <row r="177" spans="1:9" x14ac:dyDescent="0.4">
      <c r="A177" s="1">
        <v>17.2</v>
      </c>
      <c r="B177" s="1">
        <f>_xlfn.NORM.S.DIST(((A177)-'1_全損率'!$G$3)/'1_全損率'!$H$3, TRUE)</f>
        <v>0.81400714430418808</v>
      </c>
      <c r="C177" s="1">
        <f>_xlfn.NORM.S.DIST(((A177)-'2_全半壊率'!$G$3)/'2_全半壊率'!$H$3, TRUE)</f>
        <v>0.99694407916888306</v>
      </c>
      <c r="D177" s="1">
        <f>_xlfn.NORM.S.DIST(((A177)-'3_一部損壊以上率'!$G$3)/'3_一部損壊以上率'!$H$3, TRUE)</f>
        <v>0.99975184493580371</v>
      </c>
      <c r="E177" s="1">
        <f t="shared" si="10"/>
        <v>0.81400714430418808</v>
      </c>
      <c r="F177" s="1">
        <f t="shared" si="15"/>
        <v>0.18293693486469498</v>
      </c>
      <c r="G177" s="1">
        <f t="shared" si="15"/>
        <v>2.8077657669206557E-3</v>
      </c>
      <c r="H177" s="1">
        <f t="shared" si="12"/>
        <v>2.4815506419628708E-4</v>
      </c>
      <c r="I177" s="1">
        <f t="shared" si="13"/>
        <v>0.90617755317826576</v>
      </c>
    </row>
    <row r="178" spans="1:9" x14ac:dyDescent="0.4">
      <c r="A178" s="1">
        <v>17.3</v>
      </c>
      <c r="B178" s="1">
        <f>_xlfn.NORM.S.DIST(((A178)-'1_全損率'!$G$3)/'1_全損率'!$H$3, TRUE)</f>
        <v>0.8180054086323546</v>
      </c>
      <c r="C178" s="1">
        <f>_xlfn.NORM.S.DIST(((A178)-'2_全半壊率'!$G$3)/'2_全半壊率'!$H$3, TRUE)</f>
        <v>0.99717108869854598</v>
      </c>
      <c r="D178" s="1">
        <f>_xlfn.NORM.S.DIST(((A178)-'3_一部損壊以上率'!$G$3)/'3_一部損壊以上率'!$H$3, TRUE)</f>
        <v>0.9997752800555475</v>
      </c>
      <c r="E178" s="1">
        <f t="shared" si="10"/>
        <v>0.8180054086323546</v>
      </c>
      <c r="F178" s="1">
        <f t="shared" si="15"/>
        <v>0.17916568006619138</v>
      </c>
      <c r="G178" s="1">
        <f t="shared" si="15"/>
        <v>2.6041913570015174E-3</v>
      </c>
      <c r="H178" s="1">
        <f t="shared" si="12"/>
        <v>2.2471994445250054E-4</v>
      </c>
      <c r="I178" s="1">
        <f t="shared" si="13"/>
        <v>0.9082392965047007</v>
      </c>
    </row>
    <row r="179" spans="1:9" x14ac:dyDescent="0.4">
      <c r="A179" s="1">
        <v>17.399999999999999</v>
      </c>
      <c r="B179" s="1">
        <f>_xlfn.NORM.S.DIST(((A179)-'1_全損率'!$G$3)/'1_全損率'!$H$3, TRUE)</f>
        <v>0.82194949179404753</v>
      </c>
      <c r="C179" s="1">
        <f>_xlfn.NORM.S.DIST(((A179)-'2_全半壊率'!$G$3)/'2_全半壊率'!$H$3, TRUE)</f>
        <v>0.99738277422312005</v>
      </c>
      <c r="D179" s="1">
        <f>_xlfn.NORM.S.DIST(((A179)-'3_一部損壊以上率'!$G$3)/'3_一部損壊以上率'!$H$3, TRUE)</f>
        <v>0.99979663647507666</v>
      </c>
      <c r="E179" s="1">
        <f t="shared" si="10"/>
        <v>0.82194949179404753</v>
      </c>
      <c r="F179" s="1">
        <f t="shared" si="15"/>
        <v>0.17543328242907252</v>
      </c>
      <c r="G179" s="1">
        <f t="shared" si="15"/>
        <v>2.4138622519566111E-3</v>
      </c>
      <c r="H179" s="1">
        <f t="shared" si="12"/>
        <v>2.0336352492333898E-4</v>
      </c>
      <c r="I179" s="1">
        <f t="shared" si="13"/>
        <v>0.91026959857157297</v>
      </c>
    </row>
    <row r="180" spans="1:9" x14ac:dyDescent="0.4">
      <c r="A180" s="1">
        <v>17.5</v>
      </c>
      <c r="B180" s="1">
        <f>_xlfn.NORM.S.DIST(((A180)-'1_全損率'!$G$3)/'1_全損率'!$H$3, TRUE)</f>
        <v>0.82583924922514096</v>
      </c>
      <c r="C180" s="1">
        <f>_xlfn.NORM.S.DIST(((A180)-'2_全半壊率'!$G$3)/'2_全半壊率'!$H$3, TRUE)</f>
        <v>0.99758004426603297</v>
      </c>
      <c r="D180" s="1">
        <f>_xlfn.NORM.S.DIST(((A180)-'3_一部損壊以上率'!$G$3)/'3_一部損壊以上率'!$H$3, TRUE)</f>
        <v>0.99981608494479046</v>
      </c>
      <c r="E180" s="1">
        <f t="shared" si="10"/>
        <v>0.82583924922514096</v>
      </c>
      <c r="F180" s="1">
        <f t="shared" si="15"/>
        <v>0.17174079504089201</v>
      </c>
      <c r="G180" s="1">
        <f t="shared" si="15"/>
        <v>2.2360406787574894E-3</v>
      </c>
      <c r="H180" s="1">
        <f t="shared" si="12"/>
        <v>1.839150552095381E-4</v>
      </c>
      <c r="I180" s="1">
        <f t="shared" si="13"/>
        <v>0.91226865691527637</v>
      </c>
    </row>
    <row r="181" spans="1:9" x14ac:dyDescent="0.4">
      <c r="A181" s="1">
        <v>17.600000000000001</v>
      </c>
      <c r="B181" s="1">
        <f>_xlfn.NORM.S.DIST(((A181)-'1_全損率'!$G$3)/'1_全損率'!$H$3, TRUE)</f>
        <v>0.82967456272494688</v>
      </c>
      <c r="C181" s="1">
        <f>_xlfn.NORM.S.DIST(((A181)-'2_全半壊率'!$G$3)/'2_全半壊率'!$H$3, TRUE)</f>
        <v>0.99776376324468252</v>
      </c>
      <c r="D181" s="1">
        <f>_xlfn.NORM.S.DIST(((A181)-'3_一部損壊以上率'!$G$3)/'3_一部損壊以上率'!$H$3, TRUE)</f>
        <v>0.99983378351368712</v>
      </c>
      <c r="E181" s="1">
        <f t="shared" si="10"/>
        <v>0.82967456272494688</v>
      </c>
      <c r="F181" s="1">
        <f t="shared" si="15"/>
        <v>0.16808920051973564</v>
      </c>
      <c r="G181" s="1">
        <f t="shared" si="15"/>
        <v>2.0700202690046021E-3</v>
      </c>
      <c r="H181" s="1">
        <f t="shared" si="12"/>
        <v>1.6621648631287567E-4</v>
      </c>
      <c r="I181" s="1">
        <f t="shared" si="13"/>
        <v>0.91423666805206583</v>
      </c>
    </row>
    <row r="182" spans="1:9" x14ac:dyDescent="0.4">
      <c r="A182" s="1">
        <v>17.7</v>
      </c>
      <c r="B182" s="1">
        <f>_xlfn.NORM.S.DIST(((A182)-'1_全損率'!$G$3)/'1_全損率'!$H$3, TRUE)</f>
        <v>0.83345534016970335</v>
      </c>
      <c r="C182" s="1">
        <f>_xlfn.NORM.S.DIST(((A182)-'2_全半壊率'!$G$3)/'2_全半壊率'!$H$3, TRUE)</f>
        <v>0.99793475288989542</v>
      </c>
      <c r="D182" s="1">
        <f>_xlfn.NORM.S.DIST(((A182)-'3_一部損壊以上率'!$G$3)/'3_一部損壊以上率'!$H$3, TRUE)</f>
        <v>0.99984987835100403</v>
      </c>
      <c r="E182" s="1">
        <f t="shared" si="10"/>
        <v>0.83345534016970335</v>
      </c>
      <c r="F182" s="1">
        <f t="shared" si="15"/>
        <v>0.16447941272019206</v>
      </c>
      <c r="G182" s="1">
        <f t="shared" si="15"/>
        <v>1.9151254611086133E-3</v>
      </c>
      <c r="H182" s="1">
        <f t="shared" si="12"/>
        <v>1.5012164899597114E-4</v>
      </c>
      <c r="I182" s="1">
        <f t="shared" si="13"/>
        <v>0.91617382789507651</v>
      </c>
    </row>
    <row r="183" spans="1:9" x14ac:dyDescent="0.4">
      <c r="A183" s="1">
        <v>17.8</v>
      </c>
      <c r="B183" s="1">
        <f>_xlfn.NORM.S.DIST(((A183)-'1_全損率'!$G$3)/'1_全損率'!$H$3, TRUE)</f>
        <v>0.83718151520668349</v>
      </c>
      <c r="C183" s="1">
        <f>_xlfn.NORM.S.DIST(((A183)-'2_全半壊率'!$G$3)/'2_全半壊率'!$H$3, TRUE)</f>
        <v>0.99809379367300421</v>
      </c>
      <c r="D183" s="1">
        <f>_xlfn.NORM.S.DIST(((A183)-'3_一部損壊以上率'!$G$3)/'3_一部損壊以上率'!$H$3, TRUE)</f>
        <v>0.99986450452570019</v>
      </c>
      <c r="E183" s="1">
        <f t="shared" si="10"/>
        <v>0.83718151520668349</v>
      </c>
      <c r="F183" s="1">
        <f t="shared" si="15"/>
        <v>0.16091227846632072</v>
      </c>
      <c r="G183" s="1">
        <f t="shared" si="15"/>
        <v>1.7707108526959781E-3</v>
      </c>
      <c r="H183" s="1">
        <f t="shared" si="12"/>
        <v>1.3549547429980713E-4</v>
      </c>
      <c r="I183" s="1">
        <f t="shared" si="13"/>
        <v>0.91808033215301788</v>
      </c>
    </row>
    <row r="184" spans="1:9" x14ac:dyDescent="0.4">
      <c r="A184" s="1">
        <v>17.899999999999999</v>
      </c>
      <c r="B184" s="1">
        <f>_xlfn.NORM.S.DIST(((A184)-'1_全損率'!$G$3)/'1_全損率'!$H$3, TRUE)</f>
        <v>0.84085304692953222</v>
      </c>
      <c r="C184" s="1">
        <f>_xlfn.NORM.S.DIST(((A184)-'2_全半壊率'!$G$3)/'2_全半壊率'!$H$3, TRUE)</f>
        <v>0.99824162623562784</v>
      </c>
      <c r="D184" s="1">
        <f>_xlfn.NORM.S.DIST(((A184)-'3_一部損壊以上率'!$G$3)/'3_一部損壊以上率'!$H$3, TRUE)</f>
        <v>0.99987778674498606</v>
      </c>
      <c r="E184" s="1">
        <f t="shared" si="10"/>
        <v>0.84085304692953222</v>
      </c>
      <c r="F184" s="1">
        <f t="shared" si="15"/>
        <v>0.15738857930609562</v>
      </c>
      <c r="G184" s="1">
        <f t="shared" si="15"/>
        <v>1.6361605093582199E-3</v>
      </c>
      <c r="H184" s="1">
        <f t="shared" si="12"/>
        <v>1.2221325501393654E-4</v>
      </c>
      <c r="I184" s="1">
        <f t="shared" si="13"/>
        <v>0.91995637670991959</v>
      </c>
    </row>
    <row r="185" spans="1:9" x14ac:dyDescent="0.4">
      <c r="A185" s="1">
        <v>18</v>
      </c>
      <c r="B185" s="1">
        <f>_xlfn.NORM.S.DIST(((A185)-'1_全損率'!$G$3)/'1_全損率'!$H$3, TRUE)</f>
        <v>0.84446991953547346</v>
      </c>
      <c r="C185" s="1">
        <f>_xlfn.NORM.S.DIST(((A185)-'2_全半壊率'!$G$3)/'2_全半壊率'!$H$3, TRUE)</f>
        <v>0.99837895281756839</v>
      </c>
      <c r="D185" s="1">
        <f>_xlfn.NORM.S.DIST(((A185)-'3_一部損壊以上率'!$G$3)/'3_一部損壊以上率'!$H$3, TRUE)</f>
        <v>0.99988984005315318</v>
      </c>
      <c r="E185" s="1">
        <f t="shared" si="10"/>
        <v>0.84446991953547346</v>
      </c>
      <c r="F185" s="1">
        <f t="shared" si="15"/>
        <v>0.15390903328209493</v>
      </c>
      <c r="G185" s="1">
        <f t="shared" si="15"/>
        <v>1.5108872355847902E-3</v>
      </c>
      <c r="H185" s="1">
        <f t="shared" si="12"/>
        <v>1.1015994684682173E-4</v>
      </c>
      <c r="I185" s="1">
        <f t="shared" si="13"/>
        <v>0.92180215798541709</v>
      </c>
    </row>
    <row r="186" spans="1:9" x14ac:dyDescent="0.4">
      <c r="A186" s="1">
        <v>18.100000000000001</v>
      </c>
      <c r="B186" s="1">
        <f>_xlfn.NORM.S.DIST(((A186)-'1_全損率'!$G$3)/'1_全損率'!$H$3, TRUE)</f>
        <v>0.84803214196502674</v>
      </c>
      <c r="C186" s="1">
        <f>_xlfn.NORM.S.DIST(((A186)-'2_全半壊率'!$G$3)/'2_全半壊率'!$H$3, TRUE)</f>
        <v>0.9985064386785657</v>
      </c>
      <c r="D186" s="1">
        <f>_xlfn.NORM.S.DIST(((A186)-'3_一部損壊以上率'!$G$3)/'3_一部損壊以上率'!$H$3, TRUE)</f>
        <v>0.99990077049200932</v>
      </c>
      <c r="E186" s="1">
        <f t="shared" si="10"/>
        <v>0.84803214196502674</v>
      </c>
      <c r="F186" s="1">
        <f t="shared" si="15"/>
        <v>0.15047429671353896</v>
      </c>
      <c r="G186" s="1">
        <f t="shared" si="15"/>
        <v>1.3943318134436167E-3</v>
      </c>
      <c r="H186" s="1">
        <f t="shared" si="12"/>
        <v>9.922950799068353E-5</v>
      </c>
      <c r="I186" s="1">
        <f t="shared" si="13"/>
        <v>0.92361787327515721</v>
      </c>
    </row>
    <row r="187" spans="1:9" x14ac:dyDescent="0.4">
      <c r="A187" s="1">
        <v>18.2</v>
      </c>
      <c r="B187" s="1">
        <f>_xlfn.NORM.S.DIST(((A187)-'1_全損率'!$G$3)/'1_全損率'!$H$3, TRUE)</f>
        <v>0.85153974752490413</v>
      </c>
      <c r="C187" s="1">
        <f>_xlfn.NORM.S.DIST(((A187)-'2_全半壊率'!$G$3)/'2_全半壊率'!$H$3, TRUE)</f>
        <v>0.99862471350997373</v>
      </c>
      <c r="D187" s="1">
        <f>_xlfn.NORM.S.DIST(((A187)-'3_一部損壊以上率'!$G$3)/'3_一部損壊以上率'!$H$3, TRUE)</f>
        <v>0.99991067572425163</v>
      </c>
      <c r="E187" s="1">
        <f t="shared" si="10"/>
        <v>0.85153974752490413</v>
      </c>
      <c r="F187" s="1">
        <f t="shared" si="15"/>
        <v>0.14708496598506959</v>
      </c>
      <c r="G187" s="1">
        <f t="shared" si="15"/>
        <v>1.2859622142779026E-3</v>
      </c>
      <c r="H187" s="1">
        <f t="shared" si="12"/>
        <v>8.9324275748370319E-5</v>
      </c>
      <c r="I187" s="1">
        <f t="shared" si="13"/>
        <v>0.92540372107100832</v>
      </c>
    </row>
    <row r="188" spans="1:9" x14ac:dyDescent="0.4">
      <c r="A188" s="1">
        <v>18.3</v>
      </c>
      <c r="B188" s="1">
        <f>_xlfn.NORM.S.DIST(((A188)-'1_全損率'!$G$3)/'1_全損率'!$H$3, TRUE)</f>
        <v>0.85499279349475521</v>
      </c>
      <c r="C188" s="1">
        <f>_xlfn.NORM.S.DIST(((A188)-'2_全半壊率'!$G$3)/'2_全半壊率'!$H$3, TRUE)</f>
        <v>0.99873437283273925</v>
      </c>
      <c r="D188" s="1">
        <f>_xlfn.NORM.S.DIST(((A188)-'3_一部損壊以上率'!$G$3)/'3_一部損壊以上率'!$H$3, TRUE)</f>
        <v>0.99991964562113966</v>
      </c>
      <c r="E188" s="1">
        <f t="shared" si="10"/>
        <v>0.85499279349475521</v>
      </c>
      <c r="F188" s="1">
        <f t="shared" si="15"/>
        <v>0.14374157933798404</v>
      </c>
      <c r="G188" s="1">
        <f t="shared" si="15"/>
        <v>1.1852727884004155E-3</v>
      </c>
      <c r="H188" s="1">
        <f t="shared" si="12"/>
        <v>8.0354378860336695E-5</v>
      </c>
      <c r="I188" s="1">
        <f t="shared" si="13"/>
        <v>0.92715990136084736</v>
      </c>
    </row>
    <row r="189" spans="1:9" x14ac:dyDescent="0.4">
      <c r="A189" s="1">
        <v>18.399999999999999</v>
      </c>
      <c r="B189" s="1">
        <f>_xlfn.NORM.S.DIST(((A189)-'1_全損率'!$G$3)/'1_全損率'!$H$3, TRUE)</f>
        <v>0.85839136071845012</v>
      </c>
      <c r="C189" s="1">
        <f>_xlfn.NORM.S.DIST(((A189)-'2_全半壊率'!$G$3)/'2_全半壊率'!$H$3, TRUE)</f>
        <v>0.99883597937837387</v>
      </c>
      <c r="D189" s="1">
        <f>_xlfn.NORM.S.DIST(((A189)-'3_一部損壊以上率'!$G$3)/'3_一部損壊以上率'!$H$3, TRUE)</f>
        <v>0.99992776281584395</v>
      </c>
      <c r="E189" s="1">
        <f t="shared" si="10"/>
        <v>0.85839136071845012</v>
      </c>
      <c r="F189" s="1">
        <f t="shared" si="15"/>
        <v>0.14044461865992375</v>
      </c>
      <c r="G189" s="1">
        <f t="shared" si="15"/>
        <v>1.091783437470073E-3</v>
      </c>
      <c r="H189" s="1">
        <f t="shared" si="12"/>
        <v>7.223718415605429E-5</v>
      </c>
      <c r="I189" s="1">
        <f t="shared" si="13"/>
        <v>0.92888661590777954</v>
      </c>
    </row>
    <row r="190" spans="1:9" x14ac:dyDescent="0.4">
      <c r="A190" s="1">
        <v>18.5</v>
      </c>
      <c r="B190" s="1">
        <f>_xlfn.NORM.S.DIST(((A190)-'1_全損率'!$G$3)/'1_全損率'!$H$3, TRUE)</f>
        <v>0.86173555318059869</v>
      </c>
      <c r="C190" s="1">
        <f>_xlfn.NORM.S.DIST(((A190)-'2_全半壊率'!$G$3)/'2_全半壊率'!$H$3, TRUE)</f>
        <v>0.99893006444991084</v>
      </c>
      <c r="D190" s="1">
        <f>_xlfn.NORM.S.DIST(((A190)-'3_一部損壊以上率'!$G$3)/'3_一部損壊以上率'!$H$3, TRUE)</f>
        <v>0.9999351032238567</v>
      </c>
      <c r="E190" s="1">
        <f t="shared" si="10"/>
        <v>0.86173555318059869</v>
      </c>
      <c r="F190" s="1">
        <f t="shared" si="15"/>
        <v>0.13719451126931215</v>
      </c>
      <c r="G190" s="1">
        <f t="shared" si="15"/>
        <v>1.0050387739458655E-3</v>
      </c>
      <c r="H190" s="1">
        <f t="shared" si="12"/>
        <v>6.4896776143297252E-5</v>
      </c>
      <c r="I190" s="1">
        <f t="shared" si="13"/>
        <v>0.9305840685087412</v>
      </c>
    </row>
    <row r="191" spans="1:9" x14ac:dyDescent="0.4">
      <c r="A191" s="1">
        <v>18.600000000000001</v>
      </c>
      <c r="B191" s="1">
        <f>_xlfn.NORM.S.DIST(((A191)-'1_全損率'!$G$3)/'1_全損率'!$H$3, TRUE)</f>
        <v>0.86502549756900649</v>
      </c>
      <c r="C191" s="1">
        <f>_xlfn.NORM.S.DIST(((A191)-'2_全半壊率'!$G$3)/'2_全半壊率'!$H$3, TRUE)</f>
        <v>0.99901712926013186</v>
      </c>
      <c r="D191" s="1">
        <f>_xlfn.NORM.S.DIST(((A191)-'3_一部損壊以上率'!$G$3)/'3_一部損壊以上率'!$H$3, TRUE)</f>
        <v>0.99994173653184726</v>
      </c>
      <c r="E191" s="1">
        <f t="shared" si="10"/>
        <v>0.86502549756900649</v>
      </c>
      <c r="F191" s="1">
        <f t="shared" si="15"/>
        <v>0.13399163169112538</v>
      </c>
      <c r="G191" s="1">
        <f t="shared" si="15"/>
        <v>9.2460727171539414E-4</v>
      </c>
      <c r="H191" s="1">
        <f t="shared" si="12"/>
        <v>5.8263468152741638E-5</v>
      </c>
      <c r="I191" s="1">
        <f t="shared" si="13"/>
        <v>0.93225246523249805</v>
      </c>
    </row>
    <row r="192" spans="1:9" x14ac:dyDescent="0.4">
      <c r="A192" s="1">
        <v>18.7</v>
      </c>
      <c r="B192" s="1">
        <f>_xlfn.NORM.S.DIST(((A192)-'1_全損率'!$G$3)/'1_全損率'!$H$3, TRUE)</f>
        <v>0.86826134282378742</v>
      </c>
      <c r="C192" s="1">
        <f>_xlfn.NORM.S.DIST(((A192)-'2_全半壊率'!$G$3)/'2_全半壊率'!$H$3, TRUE)</f>
        <v>0.99909764624463249</v>
      </c>
      <c r="D192" s="1">
        <f>_xlfn.NORM.S.DIST(((A192)-'3_一部損壊以上率'!$G$3)/'3_一部損壊以上率'!$H$3, TRUE)</f>
        <v>0.99994772665634657</v>
      </c>
      <c r="E192" s="1">
        <f t="shared" si="10"/>
        <v>0.86826134282378742</v>
      </c>
      <c r="F192" s="1">
        <f t="shared" si="15"/>
        <v>0.13083630342084507</v>
      </c>
      <c r="G192" s="1">
        <f t="shared" si="15"/>
        <v>8.5008041171408255E-4</v>
      </c>
      <c r="H192" s="1">
        <f t="shared" si="12"/>
        <v>5.2273343653430615E-5</v>
      </c>
      <c r="I192" s="1">
        <f t="shared" si="13"/>
        <v>0.93389201463713845</v>
      </c>
    </row>
    <row r="193" spans="1:9" x14ac:dyDescent="0.4">
      <c r="A193" s="1">
        <v>18.8</v>
      </c>
      <c r="B193" s="1">
        <f>_xlfn.NORM.S.DIST(((A193)-'1_全損率'!$G$3)/'1_全損率'!$H$3, TRUE)</f>
        <v>0.87144325967384806</v>
      </c>
      <c r="C193" s="1">
        <f>_xlfn.NORM.S.DIST(((A193)-'2_全半壊率'!$G$3)/'2_全半壊率'!$H$3, TRUE)</f>
        <v>0.99917206034756634</v>
      </c>
      <c r="D193" s="1">
        <f>_xlfn.NORM.S.DIST(((A193)-'3_一部損壊以上率'!$G$3)/'3_一部損壊以上率'!$H$3, TRUE)</f>
        <v>0.99995313217362569</v>
      </c>
      <c r="E193" s="1">
        <f t="shared" si="10"/>
        <v>0.87144325967384806</v>
      </c>
      <c r="F193" s="1">
        <f t="shared" si="15"/>
        <v>0.12772880067371828</v>
      </c>
      <c r="G193" s="1">
        <f t="shared" si="15"/>
        <v>7.810718260593541E-4</v>
      </c>
      <c r="H193" s="1">
        <f t="shared" si="12"/>
        <v>4.6867826374308308E-5</v>
      </c>
      <c r="I193" s="1">
        <f t="shared" si="13"/>
        <v>0.93550292796722201</v>
      </c>
    </row>
    <row r="194" spans="1:9" x14ac:dyDescent="0.4">
      <c r="A194" s="1">
        <v>18.899999999999999</v>
      </c>
      <c r="B194" s="1">
        <f>_xlfn.NORM.S.DIST(((A194)-'1_全損率'!$G$3)/'1_全損率'!$H$3, TRUE)</f>
        <v>0.87457144016147126</v>
      </c>
      <c r="C194" s="1">
        <f>_xlfn.NORM.S.DIST(((A194)-'2_全半壊率'!$G$3)/'2_全半壊率'!$H$3, TRUE)</f>
        <v>0.99924079027816992</v>
      </c>
      <c r="D194" s="1">
        <f>_xlfn.NORM.S.DIST(((A194)-'3_一部損壊以上率'!$G$3)/'3_一部損壊以上率'!$H$3, TRUE)</f>
        <v>0.99995800672212276</v>
      </c>
      <c r="E194" s="1">
        <f t="shared" si="10"/>
        <v>0.87457144016147126</v>
      </c>
      <c r="F194" s="1">
        <f t="shared" si="15"/>
        <v>0.12466935011669866</v>
      </c>
      <c r="G194" s="1">
        <f t="shared" si="15"/>
        <v>7.1721644395283946E-4</v>
      </c>
      <c r="H194" s="1">
        <f t="shared" si="12"/>
        <v>4.1993277877239166E-5</v>
      </c>
      <c r="I194" s="1">
        <f t="shared" si="13"/>
        <v>0.9370854193308088</v>
      </c>
    </row>
    <row r="195" spans="1:9" x14ac:dyDescent="0.4">
      <c r="A195" s="1">
        <v>19</v>
      </c>
      <c r="B195" s="1">
        <f>_xlfn.NORM.S.DIST(((A195)-'1_全損率'!$G$3)/'1_全損率'!$H$3, TRUE)</f>
        <v>0.8776460971557285</v>
      </c>
      <c r="C195" s="1">
        <f>_xlfn.NORM.S.DIST(((A195)-'2_全半壊率'!$G$3)/'2_全半壊率'!$H$3, TRUE)</f>
        <v>0.99930422973642152</v>
      </c>
      <c r="D195" s="1">
        <f>_xlfn.NORM.S.DIST(((A195)-'3_一部損壊以上率'!$G$3)/'3_一部損壊以上率'!$H$3, TRUE)</f>
        <v>0.99996239937874876</v>
      </c>
      <c r="E195" s="1">
        <f t="shared" si="10"/>
        <v>0.8776460971557285</v>
      </c>
      <c r="F195" s="1">
        <f t="shared" si="15"/>
        <v>0.12165813258069302</v>
      </c>
      <c r="G195" s="1">
        <f t="shared" si="15"/>
        <v>6.5816964232723318E-4</v>
      </c>
      <c r="H195" s="1">
        <f t="shared" si="12"/>
        <v>3.7600621251243638E-5</v>
      </c>
      <c r="I195" s="1">
        <f t="shared" si="13"/>
        <v>0.9386397058566569</v>
      </c>
    </row>
    <row r="196" spans="1:9" x14ac:dyDescent="0.4">
      <c r="A196" s="1">
        <v>19.100000000000001</v>
      </c>
      <c r="B196" s="1">
        <f>_xlfn.NORM.S.DIST(((A196)-'1_全損率'!$G$3)/'1_全損率'!$H$3, TRUE)</f>
        <v>0.88066746385545291</v>
      </c>
      <c r="C196" s="1">
        <f>_xlfn.NORM.S.DIST(((A196)-'2_全半壊率'!$G$3)/'2_全半壊率'!$H$3, TRUE)</f>
        <v>0.9993627486064246</v>
      </c>
      <c r="D196" s="1">
        <f>_xlfn.NORM.S.DIST(((A196)-'3_一部損壊以上率'!$G$3)/'3_一部損壊以上率'!$H$3, TRUE)</f>
        <v>0.99996635501037578</v>
      </c>
      <c r="E196" s="1">
        <f t="shared" si="10"/>
        <v>0.88066746385545291</v>
      </c>
      <c r="F196" s="1">
        <f t="shared" si="15"/>
        <v>0.11869528475097169</v>
      </c>
      <c r="G196" s="1">
        <f t="shared" si="15"/>
        <v>6.0360640395118459E-4</v>
      </c>
      <c r="H196" s="1">
        <f t="shared" si="12"/>
        <v>3.3644989624215249E-5</v>
      </c>
      <c r="I196" s="1">
        <f t="shared" si="13"/>
        <v>0.9401660078319265</v>
      </c>
    </row>
    <row r="197" spans="1:9" x14ac:dyDescent="0.4">
      <c r="A197" s="1">
        <v>19.2</v>
      </c>
      <c r="B197" s="1">
        <f>_xlfn.NORM.S.DIST(((A197)-'1_全損率'!$G$3)/'1_全損率'!$H$3, TRUE)</f>
        <v>0.88363579328250552</v>
      </c>
      <c r="C197" s="1">
        <f>_xlfn.NORM.S.DIST(((A197)-'2_全半壊率'!$G$3)/'2_全半壊率'!$H$3, TRUE)</f>
        <v>0.99941669411633272</v>
      </c>
      <c r="D197" s="1">
        <f>_xlfn.NORM.S.DIST(((A197)-'3_一部損壊以上率'!$G$3)/'3_一部損壊以上率'!$H$3, TRUE)</f>
        <v>0.99996991460178553</v>
      </c>
      <c r="E197" s="1">
        <f t="shared" si="10"/>
        <v>0.88363579328250552</v>
      </c>
      <c r="F197" s="1">
        <f t="shared" si="15"/>
        <v>0.11578090083382719</v>
      </c>
      <c r="G197" s="1">
        <f t="shared" si="15"/>
        <v>5.5322048545281E-4</v>
      </c>
      <c r="H197" s="1">
        <f t="shared" si="12"/>
        <v>3.0085398214474424E-5</v>
      </c>
      <c r="I197" s="1">
        <f t="shared" si="13"/>
        <v>0.94166454882078243</v>
      </c>
    </row>
    <row r="198" spans="1:9" x14ac:dyDescent="0.4">
      <c r="A198" s="1">
        <v>19.3</v>
      </c>
      <c r="B198" s="1">
        <f>_xlfn.NORM.S.DIST(((A198)-'1_全損率'!$G$3)/'1_全損率'!$H$3, TRUE)</f>
        <v>0.88655135776607286</v>
      </c>
      <c r="C198" s="1">
        <f>_xlfn.NORM.S.DIST(((A198)-'2_全半壊率'!$G$3)/'2_全半壊率'!$H$3, TRUE)</f>
        <v>0.99946639196384679</v>
      </c>
      <c r="D198" s="1">
        <f>_xlfn.NORM.S.DIST(((A198)-'3_一部損壊以上率'!$G$3)/'3_一部損壊以上率'!$H$3, TRUE)</f>
        <v>0.9999731155613204</v>
      </c>
      <c r="E198" s="1">
        <f t="shared" si="10"/>
        <v>0.88655135776607286</v>
      </c>
      <c r="F198" s="1">
        <f t="shared" si="15"/>
        <v>0.11291503419777393</v>
      </c>
      <c r="G198" s="1">
        <f t="shared" si="15"/>
        <v>5.0672359747361284E-4</v>
      </c>
      <c r="H198" s="1">
        <f t="shared" si="12"/>
        <v>2.6884438679597444E-5</v>
      </c>
      <c r="I198" s="1">
        <f t="shared" si="13"/>
        <v>0.94313555576432828</v>
      </c>
    </row>
    <row r="199" spans="1:9" x14ac:dyDescent="0.4">
      <c r="A199" s="1">
        <v>19.399999999999999</v>
      </c>
      <c r="B199" s="1">
        <f>_xlfn.NORM.S.DIST(((A199)-'1_全損率'!$G$3)/'1_全損率'!$H$3, TRUE)</f>
        <v>0.88941444841872452</v>
      </c>
      <c r="C199" s="1">
        <f>_xlfn.NORM.S.DIST(((A199)-'2_全半壊率'!$G$3)/'2_全半壊率'!$H$3, TRUE)</f>
        <v>0.99951214740651939</v>
      </c>
      <c r="D199" s="1">
        <f>_xlfn.NORM.S.DIST(((A199)-'3_一部損壊以上率'!$G$3)/'3_一部損壊以上率'!$H$3, TRUE)</f>
        <v>0.99997599200544796</v>
      </c>
      <c r="E199" s="1">
        <f t="shared" ref="E199:E205" si="16">B199</f>
        <v>0.88941444841872452</v>
      </c>
      <c r="F199" s="1">
        <f t="shared" si="15"/>
        <v>0.11009769898779487</v>
      </c>
      <c r="G199" s="1">
        <f t="shared" si="15"/>
        <v>4.6384459892856444E-4</v>
      </c>
      <c r="H199" s="1">
        <f t="shared" ref="H199:H205" si="17">1-D199</f>
        <v>2.4007994552044387E-5</v>
      </c>
      <c r="I199" s="1">
        <f t="shared" ref="I199:I205" si="18">E199*$B$3+F199*$C$3+G199*$D$3+H199*0</f>
        <v>0.94457925906235407</v>
      </c>
    </row>
    <row r="200" spans="1:9" x14ac:dyDescent="0.4">
      <c r="A200" s="1">
        <v>19.5</v>
      </c>
      <c r="B200" s="1">
        <f>_xlfn.NORM.S.DIST(((A200)-'1_全損率'!$G$3)/'1_全損率'!$H$3, TRUE)</f>
        <v>0.89222537460496776</v>
      </c>
      <c r="C200" s="1">
        <f>_xlfn.NORM.S.DIST(((A200)-'2_全半壊率'!$G$3)/'2_全半壊率'!$H$3, TRUE)</f>
        <v>0.99955424631628531</v>
      </c>
      <c r="D200" s="1">
        <f>_xlfn.NORM.S.DIST(((A200)-'3_一部損壊以上率'!$G$3)/'3_一部損壊以上率'!$H$3, TRUE)</f>
        <v>0.99997857502340759</v>
      </c>
      <c r="E200" s="1">
        <f t="shared" si="16"/>
        <v>0.89222537460496776</v>
      </c>
      <c r="F200" s="1">
        <f t="shared" si="15"/>
        <v>0.10732887171131755</v>
      </c>
      <c r="G200" s="1">
        <f t="shared" si="15"/>
        <v>4.2432870712227899E-4</v>
      </c>
      <c r="H200" s="1">
        <f t="shared" si="17"/>
        <v>2.1424976592410161E-5</v>
      </c>
      <c r="I200" s="1">
        <f t="shared" si="18"/>
        <v>0.94599589263740713</v>
      </c>
    </row>
    <row r="201" spans="1:9" x14ac:dyDescent="0.4">
      <c r="A201" s="1">
        <v>19.600000000000001</v>
      </c>
      <c r="B201" s="1">
        <f>_xlfn.NORM.S.DIST(((A201)-'1_全損率'!$G$3)/'1_全損率'!$H$3, TRUE)</f>
        <v>0.89498446340302362</v>
      </c>
      <c r="C201" s="1">
        <f>_xlfn.NORM.S.DIST(((A201)-'2_全半壊率'!$G$3)/'2_全半壊率'!$H$3, TRUE)</f>
        <v>0.99959295619782029</v>
      </c>
      <c r="D201" s="1">
        <f>_xlfn.NORM.S.DIST(((A201)-'3_一部損壊以上率'!$G$3)/'3_一部損壊以上率'!$H$3, TRUE)</f>
        <v>0.99998089292307746</v>
      </c>
      <c r="E201" s="1">
        <f t="shared" si="16"/>
        <v>0.89498446340302362</v>
      </c>
      <c r="F201" s="1">
        <f t="shared" si="15"/>
        <v>0.10460849279479667</v>
      </c>
      <c r="G201" s="1">
        <f t="shared" si="15"/>
        <v>3.8793672525716527E-4</v>
      </c>
      <c r="H201" s="1">
        <f t="shared" si="17"/>
        <v>1.9107076922542099E-5</v>
      </c>
      <c r="I201" s="1">
        <f t="shared" si="18"/>
        <v>0.94738569398173622</v>
      </c>
    </row>
    <row r="202" spans="1:9" x14ac:dyDescent="0.4">
      <c r="A202" s="1">
        <v>19.7</v>
      </c>
      <c r="B202" s="1">
        <f>_xlfn.NORM.S.DIST(((A202)-'1_全損率'!$G$3)/'1_全損率'!$H$3, TRUE)</f>
        <v>0.89769205906055294</v>
      </c>
      <c r="C202" s="1">
        <f>_xlfn.NORM.S.DIST(((A202)-'2_全半壊率'!$G$3)/'2_全半壊率'!$H$3, TRUE)</f>
        <v>0.99962852717048911</v>
      </c>
      <c r="D202" s="1">
        <f>_xlfn.NORM.S.DIST(((A202)-'3_一部損壊以上率'!$G$3)/'3_一部損壊以上率'!$H$3, TRUE)</f>
        <v>0.99998297145915005</v>
      </c>
      <c r="E202" s="1">
        <f t="shared" si="16"/>
        <v>0.89769205906055294</v>
      </c>
      <c r="F202" s="1">
        <f t="shared" si="15"/>
        <v>0.10193646810993617</v>
      </c>
      <c r="G202" s="1">
        <f t="shared" si="15"/>
        <v>3.544442886609378E-4</v>
      </c>
      <c r="H202" s="1">
        <f t="shared" si="17"/>
        <v>1.7028540849950424E-5</v>
      </c>
      <c r="I202" s="1">
        <f t="shared" si="18"/>
        <v>0.9487489041876862</v>
      </c>
    </row>
    <row r="203" spans="1:9" x14ac:dyDescent="0.4">
      <c r="A203" s="1">
        <v>19.8</v>
      </c>
      <c r="B203" s="1">
        <f>_xlfn.NORM.S.DIST(((A203)-'1_全損率'!$G$3)/'1_全損率'!$H$3, TRUE)</f>
        <v>0.9003485224450507</v>
      </c>
      <c r="C203" s="1">
        <f>_xlfn.NORM.S.DIST(((A203)-'2_全半壊率'!$G$3)/'2_全半壊率'!$H$3, TRUE)</f>
        <v>0.9996611929138004</v>
      </c>
      <c r="D203" s="1">
        <f>_xlfn.NORM.S.DIST(((A203)-'3_一部損壊以上率'!$G$3)/'3_一部損壊以上率'!$H$3, TRUE)</f>
        <v>0.99998483404467264</v>
      </c>
      <c r="E203" s="1">
        <f t="shared" si="16"/>
        <v>0.9003485224450507</v>
      </c>
      <c r="F203" s="1">
        <f t="shared" si="15"/>
        <v>9.9312670468749698E-2</v>
      </c>
      <c r="G203" s="1">
        <f t="shared" si="15"/>
        <v>3.2364113087224311E-4</v>
      </c>
      <c r="H203" s="1">
        <f t="shared" si="17"/>
        <v>1.5165955327356428E-5</v>
      </c>
      <c r="I203" s="1">
        <f t="shared" si="18"/>
        <v>0.95008576796214361</v>
      </c>
    </row>
    <row r="204" spans="1:9" x14ac:dyDescent="0.4">
      <c r="A204" s="1">
        <v>19.899999999999999</v>
      </c>
      <c r="B204" s="1">
        <f>_xlfn.NORM.S.DIST(((A204)-'1_全損率'!$G$3)/'1_全損率'!$H$3, TRUE)</f>
        <v>0.90295423048962165</v>
      </c>
      <c r="C204" s="1">
        <f>_xlfn.NORM.S.DIST(((A204)-'2_全半壊率'!$G$3)/'2_全半壊率'!$H$3, TRUE)</f>
        <v>0.9996911715764254</v>
      </c>
      <c r="D204" s="1">
        <f>_xlfn.NORM.S.DIST(((A204)-'3_一部損壊以上率'!$G$3)/'3_一部損壊以上率'!$H$3, TRUE)</f>
        <v>0.99998650194696115</v>
      </c>
      <c r="E204" s="1">
        <f t="shared" si="16"/>
        <v>0.90295423048962165</v>
      </c>
      <c r="F204" s="1">
        <f t="shared" si="15"/>
        <v>9.6736941086803752E-2</v>
      </c>
      <c r="G204" s="1">
        <f t="shared" si="15"/>
        <v>2.9533037053575129E-4</v>
      </c>
      <c r="H204" s="1">
        <f t="shared" si="17"/>
        <v>1.3498053038851765E-5</v>
      </c>
      <c r="I204" s="1">
        <f t="shared" si="18"/>
        <v>0.95139653362565746</v>
      </c>
    </row>
    <row r="205" spans="1:9" x14ac:dyDescent="0.4">
      <c r="A205" s="1">
        <v>20</v>
      </c>
      <c r="B205" s="1">
        <f>_xlfn.NORM.S.DIST(((A205)-'1_全損率'!$G$3)/'1_全損率'!$H$3, TRUE)</f>
        <v>0.90550957563484602</v>
      </c>
      <c r="C205" s="1">
        <f>_xlfn.NORM.S.DIST(((A205)-'2_全半壊率'!$G$3)/'2_全半壊率'!$H$3, TRUE)</f>
        <v>0.99971866664896492</v>
      </c>
      <c r="D205" s="1">
        <f>_xlfn.NORM.S.DIST(((A205)-'3_一部損壊以上率'!$G$3)/'3_一部損壊以上率'!$H$3, TRUE)</f>
        <v>0.99998799446885556</v>
      </c>
      <c r="E205" s="1">
        <f t="shared" si="16"/>
        <v>0.90550957563484602</v>
      </c>
      <c r="F205" s="1">
        <f t="shared" si="15"/>
        <v>9.4209091014118895E-2</v>
      </c>
      <c r="G205" s="1">
        <f t="shared" si="15"/>
        <v>2.6932781989064125E-4</v>
      </c>
      <c r="H205" s="1">
        <f t="shared" si="17"/>
        <v>1.200553114444336E-5</v>
      </c>
      <c r="I205" s="1">
        <f t="shared" si="18"/>
        <v>0.95268145309687813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</vt:lpstr>
      <vt:lpstr>1_全損率</vt:lpstr>
      <vt:lpstr>2_全半壊率</vt:lpstr>
      <vt:lpstr>3_一部損壊以上率</vt:lpstr>
      <vt:lpstr>4_フラジリティ曲線</vt:lpstr>
      <vt:lpstr>5_損失率曲線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伊藤竜平_A6Y42</dc:creator>
  <cp:lastModifiedBy>伊藤竜平_A6Y42</cp:lastModifiedBy>
  <dcterms:created xsi:type="dcterms:W3CDTF">2025-07-16T05:21:48Z</dcterms:created>
  <dcterms:modified xsi:type="dcterms:W3CDTF">2025-10-09T08:12:36Z</dcterms:modified>
</cp:coreProperties>
</file>