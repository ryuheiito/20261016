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yuhe\Desktop\WORK\PROGRAMING\claude code\20260629_水災財物_事業中断算定ツール\"/>
    </mc:Choice>
  </mc:AlternateContent>
  <xr:revisionPtr revIDLastSave="0" documentId="13_ncr:1_{802C8ECC-C75A-40C8-AE26-54CD194FD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1_製造業" sheetId="2" r:id="rId2"/>
    <sheet name="2_生活関連型産業" sheetId="3" r:id="rId3"/>
    <sheet name="3_基礎素材型産業" sheetId="4" r:id="rId4"/>
    <sheet name="4_非製造業" sheetId="5" r:id="rId5"/>
    <sheet name="5_卸売・小売業" sheetId="6" r:id="rId6"/>
    <sheet name="6_サービス業" sheetId="7" r:id="rId7"/>
    <sheet name="7_被害関数" sheetId="8" r:id="rId8"/>
    <sheet name="8_参考_論文図3-4再現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" i="9" l="1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D7" i="9"/>
  <c r="C7" i="9"/>
  <c r="B7" i="9"/>
  <c r="G6" i="9"/>
  <c r="F6" i="9"/>
  <c r="E6" i="9"/>
  <c r="D6" i="9"/>
  <c r="C6" i="9"/>
  <c r="B6" i="9"/>
  <c r="G5" i="9"/>
  <c r="F5" i="9"/>
  <c r="E5" i="9"/>
  <c r="D5" i="9"/>
  <c r="C5" i="9"/>
  <c r="B5" i="9"/>
  <c r="F47" i="7"/>
  <c r="L47" i="7" s="1"/>
  <c r="E47" i="7"/>
  <c r="K47" i="7" s="1"/>
  <c r="D47" i="7"/>
  <c r="J47" i="7" s="1"/>
  <c r="C47" i="7"/>
  <c r="I47" i="7" s="1"/>
  <c r="B47" i="7"/>
  <c r="F46" i="7"/>
  <c r="L46" i="7" s="1"/>
  <c r="E46" i="7"/>
  <c r="K46" i="7" s="1"/>
  <c r="D46" i="7"/>
  <c r="J46" i="7" s="1"/>
  <c r="C46" i="7"/>
  <c r="I46" i="7" s="1"/>
  <c r="B46" i="7"/>
  <c r="F45" i="7"/>
  <c r="L45" i="7" s="1"/>
  <c r="E45" i="7"/>
  <c r="K45" i="7" s="1"/>
  <c r="D45" i="7"/>
  <c r="J45" i="7" s="1"/>
  <c r="C45" i="7"/>
  <c r="I45" i="7" s="1"/>
  <c r="B45" i="7"/>
  <c r="F44" i="7"/>
  <c r="L44" i="7" s="1"/>
  <c r="E44" i="7"/>
  <c r="K44" i="7" s="1"/>
  <c r="D44" i="7"/>
  <c r="J44" i="7" s="1"/>
  <c r="C44" i="7"/>
  <c r="I44" i="7" s="1"/>
  <c r="B44" i="7"/>
  <c r="F43" i="7"/>
  <c r="L43" i="7" s="1"/>
  <c r="E43" i="7"/>
  <c r="K43" i="7" s="1"/>
  <c r="D43" i="7"/>
  <c r="J43" i="7" s="1"/>
  <c r="C43" i="7"/>
  <c r="I43" i="7" s="1"/>
  <c r="B43" i="7"/>
  <c r="F42" i="7"/>
  <c r="L42" i="7" s="1"/>
  <c r="E42" i="7"/>
  <c r="K42" i="7" s="1"/>
  <c r="D42" i="7"/>
  <c r="J42" i="7" s="1"/>
  <c r="C42" i="7"/>
  <c r="I42" i="7" s="1"/>
  <c r="B42" i="7"/>
  <c r="F41" i="7"/>
  <c r="L41" i="7" s="1"/>
  <c r="E41" i="7"/>
  <c r="K41" i="7" s="1"/>
  <c r="D41" i="7"/>
  <c r="J41" i="7" s="1"/>
  <c r="C41" i="7"/>
  <c r="I41" i="7" s="1"/>
  <c r="B41" i="7"/>
  <c r="F40" i="7"/>
  <c r="L40" i="7" s="1"/>
  <c r="E40" i="7"/>
  <c r="K40" i="7" s="1"/>
  <c r="D40" i="7"/>
  <c r="J40" i="7" s="1"/>
  <c r="C40" i="7"/>
  <c r="I40" i="7" s="1"/>
  <c r="B40" i="7"/>
  <c r="G39" i="7"/>
  <c r="F39" i="7"/>
  <c r="L39" i="7" s="1"/>
  <c r="E39" i="7"/>
  <c r="K39" i="7" s="1"/>
  <c r="C39" i="7"/>
  <c r="B39" i="7"/>
  <c r="H39" i="7" s="1"/>
  <c r="F38" i="7"/>
  <c r="L38" i="7" s="1"/>
  <c r="E38" i="7"/>
  <c r="K38" i="7" s="1"/>
  <c r="D38" i="7"/>
  <c r="J38" i="7" s="1"/>
  <c r="C38" i="7"/>
  <c r="I38" i="7" s="1"/>
  <c r="B38" i="7"/>
  <c r="F37" i="7"/>
  <c r="L37" i="7" s="1"/>
  <c r="E37" i="7"/>
  <c r="K37" i="7" s="1"/>
  <c r="D37" i="7"/>
  <c r="J37" i="7" s="1"/>
  <c r="C37" i="7"/>
  <c r="I37" i="7" s="1"/>
  <c r="B37" i="7"/>
  <c r="F36" i="7"/>
  <c r="L36" i="7" s="1"/>
  <c r="E36" i="7"/>
  <c r="K36" i="7" s="1"/>
  <c r="D36" i="7"/>
  <c r="J36" i="7" s="1"/>
  <c r="C36" i="7"/>
  <c r="I36" i="7" s="1"/>
  <c r="B36" i="7"/>
  <c r="F35" i="7"/>
  <c r="L35" i="7" s="1"/>
  <c r="E35" i="7"/>
  <c r="K35" i="7" s="1"/>
  <c r="D35" i="7"/>
  <c r="J35" i="7" s="1"/>
  <c r="C35" i="7"/>
  <c r="I35" i="7" s="1"/>
  <c r="B35" i="7"/>
  <c r="F34" i="7"/>
  <c r="L34" i="7" s="1"/>
  <c r="E34" i="7"/>
  <c r="K34" i="7" s="1"/>
  <c r="D34" i="7"/>
  <c r="J34" i="7" s="1"/>
  <c r="C34" i="7"/>
  <c r="I34" i="7" s="1"/>
  <c r="B34" i="7"/>
  <c r="F33" i="7"/>
  <c r="L33" i="7" s="1"/>
  <c r="E33" i="7"/>
  <c r="K33" i="7" s="1"/>
  <c r="D33" i="7"/>
  <c r="J33" i="7" s="1"/>
  <c r="C33" i="7"/>
  <c r="I33" i="7" s="1"/>
  <c r="B33" i="7"/>
  <c r="F32" i="7"/>
  <c r="L32" i="7" s="1"/>
  <c r="E32" i="7"/>
  <c r="K32" i="7" s="1"/>
  <c r="D32" i="7"/>
  <c r="J32" i="7" s="1"/>
  <c r="C32" i="7"/>
  <c r="I32" i="7" s="1"/>
  <c r="B32" i="7"/>
  <c r="F31" i="7"/>
  <c r="L31" i="7" s="1"/>
  <c r="E31" i="7"/>
  <c r="K31" i="7" s="1"/>
  <c r="D31" i="7"/>
  <c r="J31" i="7" s="1"/>
  <c r="C31" i="7"/>
  <c r="I31" i="7" s="1"/>
  <c r="B31" i="7"/>
  <c r="F30" i="7"/>
  <c r="L30" i="7" s="1"/>
  <c r="E30" i="7"/>
  <c r="K30" i="7" s="1"/>
  <c r="D30" i="7"/>
  <c r="J30" i="7" s="1"/>
  <c r="C30" i="7"/>
  <c r="I30" i="7" s="1"/>
  <c r="B30" i="7"/>
  <c r="F29" i="7"/>
  <c r="L29" i="7" s="1"/>
  <c r="E29" i="7"/>
  <c r="K29" i="7" s="1"/>
  <c r="D29" i="7"/>
  <c r="J29" i="7" s="1"/>
  <c r="C29" i="7"/>
  <c r="I29" i="7" s="1"/>
  <c r="B29" i="7"/>
  <c r="G28" i="7"/>
  <c r="F28" i="7"/>
  <c r="L28" i="7" s="1"/>
  <c r="E28" i="7"/>
  <c r="K28" i="7" s="1"/>
  <c r="D28" i="7"/>
  <c r="J28" i="7" s="1"/>
  <c r="C28" i="7"/>
  <c r="I28" i="7" s="1"/>
  <c r="B28" i="7"/>
  <c r="H28" i="7" s="1"/>
  <c r="F27" i="7"/>
  <c r="L27" i="7" s="1"/>
  <c r="E27" i="7"/>
  <c r="K27" i="7" s="1"/>
  <c r="D27" i="7"/>
  <c r="J27" i="7" s="1"/>
  <c r="C27" i="7"/>
  <c r="I27" i="7" s="1"/>
  <c r="B27" i="7"/>
  <c r="F26" i="7"/>
  <c r="L26" i="7" s="1"/>
  <c r="E26" i="7"/>
  <c r="K26" i="7" s="1"/>
  <c r="D26" i="7"/>
  <c r="J26" i="7" s="1"/>
  <c r="C26" i="7"/>
  <c r="I26" i="7" s="1"/>
  <c r="B26" i="7"/>
  <c r="F25" i="7"/>
  <c r="L25" i="7" s="1"/>
  <c r="E25" i="7"/>
  <c r="K25" i="7" s="1"/>
  <c r="D25" i="7"/>
  <c r="J25" i="7" s="1"/>
  <c r="C25" i="7"/>
  <c r="I25" i="7" s="1"/>
  <c r="B25" i="7"/>
  <c r="F24" i="7"/>
  <c r="L24" i="7" s="1"/>
  <c r="E24" i="7"/>
  <c r="K24" i="7" s="1"/>
  <c r="D24" i="7"/>
  <c r="J24" i="7" s="1"/>
  <c r="C24" i="7"/>
  <c r="I24" i="7" s="1"/>
  <c r="B24" i="7"/>
  <c r="F23" i="7"/>
  <c r="L23" i="7" s="1"/>
  <c r="E23" i="7"/>
  <c r="K23" i="7" s="1"/>
  <c r="D23" i="7"/>
  <c r="J23" i="7" s="1"/>
  <c r="C23" i="7"/>
  <c r="I23" i="7" s="1"/>
  <c r="B23" i="7"/>
  <c r="F22" i="7"/>
  <c r="L22" i="7" s="1"/>
  <c r="E22" i="7"/>
  <c r="K22" i="7" s="1"/>
  <c r="D22" i="7"/>
  <c r="J22" i="7" s="1"/>
  <c r="C22" i="7"/>
  <c r="I22" i="7" s="1"/>
  <c r="B22" i="7"/>
  <c r="F21" i="7"/>
  <c r="L21" i="7" s="1"/>
  <c r="E21" i="7"/>
  <c r="K21" i="7" s="1"/>
  <c r="D21" i="7"/>
  <c r="J21" i="7" s="1"/>
  <c r="C21" i="7"/>
  <c r="I21" i="7" s="1"/>
  <c r="B21" i="7"/>
  <c r="F10" i="7"/>
  <c r="L10" i="7" s="1"/>
  <c r="E10" i="7"/>
  <c r="K10" i="7" s="1"/>
  <c r="D10" i="7"/>
  <c r="J10" i="7" s="1"/>
  <c r="C10" i="7"/>
  <c r="I10" i="7" s="1"/>
  <c r="B10" i="7"/>
  <c r="B6" i="7"/>
  <c r="G5" i="7"/>
  <c r="F5" i="7"/>
  <c r="E5" i="7"/>
  <c r="D5" i="7"/>
  <c r="C5" i="7"/>
  <c r="G4" i="7"/>
  <c r="F4" i="7"/>
  <c r="E4" i="7"/>
  <c r="D4" i="7"/>
  <c r="C4" i="7"/>
  <c r="B4" i="7"/>
  <c r="E64" i="6"/>
  <c r="D64" i="6"/>
  <c r="J64" i="6" s="1"/>
  <c r="C64" i="6"/>
  <c r="I64" i="6" s="1"/>
  <c r="F53" i="6"/>
  <c r="L53" i="6" s="1"/>
  <c r="E53" i="6"/>
  <c r="K53" i="6" s="1"/>
  <c r="D53" i="6"/>
  <c r="J53" i="6" s="1"/>
  <c r="C53" i="6"/>
  <c r="I53" i="6" s="1"/>
  <c r="B53" i="6"/>
  <c r="F52" i="6"/>
  <c r="L52" i="6" s="1"/>
  <c r="E52" i="6"/>
  <c r="K52" i="6" s="1"/>
  <c r="D52" i="6"/>
  <c r="J52" i="6" s="1"/>
  <c r="C52" i="6"/>
  <c r="I52" i="6" s="1"/>
  <c r="B52" i="6"/>
  <c r="F51" i="6"/>
  <c r="L51" i="6" s="1"/>
  <c r="E51" i="6"/>
  <c r="K51" i="6" s="1"/>
  <c r="D51" i="6"/>
  <c r="J51" i="6" s="1"/>
  <c r="C51" i="6"/>
  <c r="I51" i="6" s="1"/>
  <c r="B51" i="6"/>
  <c r="F50" i="6"/>
  <c r="L50" i="6" s="1"/>
  <c r="E50" i="6"/>
  <c r="K50" i="6" s="1"/>
  <c r="D50" i="6"/>
  <c r="J50" i="6" s="1"/>
  <c r="C50" i="6"/>
  <c r="I50" i="6" s="1"/>
  <c r="B50" i="6"/>
  <c r="F49" i="6"/>
  <c r="L49" i="6" s="1"/>
  <c r="E49" i="6"/>
  <c r="K49" i="6" s="1"/>
  <c r="D49" i="6"/>
  <c r="J49" i="6" s="1"/>
  <c r="C49" i="6"/>
  <c r="I49" i="6" s="1"/>
  <c r="B49" i="6"/>
  <c r="F48" i="6"/>
  <c r="L48" i="6" s="1"/>
  <c r="E48" i="6"/>
  <c r="K48" i="6" s="1"/>
  <c r="D48" i="6"/>
  <c r="J48" i="6" s="1"/>
  <c r="C48" i="6"/>
  <c r="I48" i="6" s="1"/>
  <c r="B48" i="6"/>
  <c r="F47" i="6"/>
  <c r="L47" i="6" s="1"/>
  <c r="E47" i="6"/>
  <c r="K47" i="6" s="1"/>
  <c r="D47" i="6"/>
  <c r="J47" i="6" s="1"/>
  <c r="C47" i="6"/>
  <c r="I47" i="6" s="1"/>
  <c r="B47" i="6"/>
  <c r="F46" i="6"/>
  <c r="L46" i="6" s="1"/>
  <c r="E46" i="6"/>
  <c r="K46" i="6" s="1"/>
  <c r="D46" i="6"/>
  <c r="J46" i="6" s="1"/>
  <c r="C46" i="6"/>
  <c r="I46" i="6" s="1"/>
  <c r="B46" i="6"/>
  <c r="F37" i="6"/>
  <c r="L37" i="6" s="1"/>
  <c r="E37" i="6"/>
  <c r="K37" i="6" s="1"/>
  <c r="D37" i="6"/>
  <c r="J37" i="6" s="1"/>
  <c r="C37" i="6"/>
  <c r="I37" i="6" s="1"/>
  <c r="B37" i="6"/>
  <c r="F36" i="6"/>
  <c r="L36" i="6" s="1"/>
  <c r="E36" i="6"/>
  <c r="K36" i="6" s="1"/>
  <c r="D36" i="6"/>
  <c r="J36" i="6" s="1"/>
  <c r="C36" i="6"/>
  <c r="I36" i="6" s="1"/>
  <c r="B36" i="6"/>
  <c r="F35" i="6"/>
  <c r="L35" i="6" s="1"/>
  <c r="E35" i="6"/>
  <c r="K35" i="6" s="1"/>
  <c r="D35" i="6"/>
  <c r="J35" i="6" s="1"/>
  <c r="C35" i="6"/>
  <c r="I35" i="6" s="1"/>
  <c r="B35" i="6"/>
  <c r="F34" i="6"/>
  <c r="L34" i="6" s="1"/>
  <c r="E34" i="6"/>
  <c r="K34" i="6" s="1"/>
  <c r="D34" i="6"/>
  <c r="J34" i="6" s="1"/>
  <c r="C34" i="6"/>
  <c r="I34" i="6" s="1"/>
  <c r="B34" i="6"/>
  <c r="F33" i="6"/>
  <c r="L33" i="6" s="1"/>
  <c r="E33" i="6"/>
  <c r="K33" i="6" s="1"/>
  <c r="D33" i="6"/>
  <c r="J33" i="6" s="1"/>
  <c r="C33" i="6"/>
  <c r="I33" i="6" s="1"/>
  <c r="B33" i="6"/>
  <c r="F32" i="6"/>
  <c r="L32" i="6" s="1"/>
  <c r="E32" i="6"/>
  <c r="K32" i="6" s="1"/>
  <c r="D32" i="6"/>
  <c r="J32" i="6" s="1"/>
  <c r="C32" i="6"/>
  <c r="I32" i="6" s="1"/>
  <c r="B32" i="6"/>
  <c r="F31" i="6"/>
  <c r="L31" i="6" s="1"/>
  <c r="E31" i="6"/>
  <c r="K31" i="6" s="1"/>
  <c r="D31" i="6"/>
  <c r="J31" i="6" s="1"/>
  <c r="C31" i="6"/>
  <c r="I31" i="6" s="1"/>
  <c r="B31" i="6"/>
  <c r="F30" i="6"/>
  <c r="L30" i="6" s="1"/>
  <c r="E30" i="6"/>
  <c r="K30" i="6" s="1"/>
  <c r="D30" i="6"/>
  <c r="J30" i="6" s="1"/>
  <c r="C30" i="6"/>
  <c r="I30" i="6" s="1"/>
  <c r="B30" i="6"/>
  <c r="F29" i="6"/>
  <c r="L29" i="6" s="1"/>
  <c r="E29" i="6"/>
  <c r="K29" i="6" s="1"/>
  <c r="D29" i="6"/>
  <c r="J29" i="6" s="1"/>
  <c r="C29" i="6"/>
  <c r="I29" i="6" s="1"/>
  <c r="B29" i="6"/>
  <c r="F28" i="6"/>
  <c r="L28" i="6" s="1"/>
  <c r="E28" i="6"/>
  <c r="K28" i="6" s="1"/>
  <c r="D28" i="6"/>
  <c r="J28" i="6" s="1"/>
  <c r="C28" i="6"/>
  <c r="I28" i="6" s="1"/>
  <c r="B28" i="6"/>
  <c r="F27" i="6"/>
  <c r="L27" i="6" s="1"/>
  <c r="E27" i="6"/>
  <c r="K27" i="6" s="1"/>
  <c r="D27" i="6"/>
  <c r="J27" i="6" s="1"/>
  <c r="C27" i="6"/>
  <c r="I27" i="6" s="1"/>
  <c r="B27" i="6"/>
  <c r="F10" i="6"/>
  <c r="L10" i="6" s="1"/>
  <c r="E10" i="6"/>
  <c r="K10" i="6" s="1"/>
  <c r="D10" i="6"/>
  <c r="J10" i="6" s="1"/>
  <c r="C10" i="6"/>
  <c r="I10" i="6" s="1"/>
  <c r="B10" i="6"/>
  <c r="B6" i="6"/>
  <c r="G5" i="6"/>
  <c r="F5" i="6"/>
  <c r="E5" i="6"/>
  <c r="D5" i="6"/>
  <c r="C5" i="6"/>
  <c r="G4" i="6"/>
  <c r="F4" i="6"/>
  <c r="E4" i="6"/>
  <c r="D4" i="6"/>
  <c r="C4" i="6"/>
  <c r="B4" i="6"/>
  <c r="B59" i="5"/>
  <c r="F52" i="5"/>
  <c r="L52" i="5" s="1"/>
  <c r="B19" i="5"/>
  <c r="F10" i="5"/>
  <c r="L10" i="5" s="1"/>
  <c r="E10" i="5"/>
  <c r="K10" i="5" s="1"/>
  <c r="D10" i="5"/>
  <c r="J10" i="5" s="1"/>
  <c r="C10" i="5"/>
  <c r="I10" i="5" s="1"/>
  <c r="B10" i="5"/>
  <c r="B6" i="5"/>
  <c r="G5" i="5"/>
  <c r="F5" i="5"/>
  <c r="E5" i="5"/>
  <c r="D5" i="5"/>
  <c r="C5" i="5"/>
  <c r="G4" i="5"/>
  <c r="F4" i="5"/>
  <c r="E4" i="5"/>
  <c r="D4" i="5"/>
  <c r="C4" i="5"/>
  <c r="B4" i="5"/>
  <c r="D70" i="4"/>
  <c r="H70" i="4" s="1"/>
  <c r="C70" i="4"/>
  <c r="G70" i="4" s="1"/>
  <c r="B70" i="4"/>
  <c r="D69" i="4"/>
  <c r="H69" i="4" s="1"/>
  <c r="C69" i="4"/>
  <c r="G69" i="4" s="1"/>
  <c r="B69" i="4"/>
  <c r="D68" i="4"/>
  <c r="H68" i="4" s="1"/>
  <c r="C68" i="4"/>
  <c r="G68" i="4" s="1"/>
  <c r="B68" i="4"/>
  <c r="D67" i="4"/>
  <c r="H67" i="4" s="1"/>
  <c r="C67" i="4"/>
  <c r="G67" i="4" s="1"/>
  <c r="B67" i="4"/>
  <c r="D66" i="4"/>
  <c r="H66" i="4" s="1"/>
  <c r="C66" i="4"/>
  <c r="G66" i="4" s="1"/>
  <c r="B66" i="4"/>
  <c r="D65" i="4"/>
  <c r="H65" i="4" s="1"/>
  <c r="C65" i="4"/>
  <c r="G65" i="4" s="1"/>
  <c r="B65" i="4"/>
  <c r="D64" i="4"/>
  <c r="H64" i="4" s="1"/>
  <c r="C64" i="4"/>
  <c r="G64" i="4" s="1"/>
  <c r="B64" i="4"/>
  <c r="D63" i="4"/>
  <c r="H63" i="4" s="1"/>
  <c r="C63" i="4"/>
  <c r="G63" i="4" s="1"/>
  <c r="B63" i="4"/>
  <c r="D62" i="4"/>
  <c r="H62" i="4" s="1"/>
  <c r="C62" i="4"/>
  <c r="G62" i="4" s="1"/>
  <c r="B62" i="4"/>
  <c r="D61" i="4"/>
  <c r="H61" i="4" s="1"/>
  <c r="C61" i="4"/>
  <c r="G61" i="4" s="1"/>
  <c r="B61" i="4"/>
  <c r="D60" i="4"/>
  <c r="H60" i="4" s="1"/>
  <c r="C60" i="4"/>
  <c r="G60" i="4" s="1"/>
  <c r="B60" i="4"/>
  <c r="D59" i="4"/>
  <c r="H59" i="4" s="1"/>
  <c r="C59" i="4"/>
  <c r="G59" i="4" s="1"/>
  <c r="B59" i="4"/>
  <c r="D58" i="4"/>
  <c r="H58" i="4" s="1"/>
  <c r="C58" i="4"/>
  <c r="G58" i="4" s="1"/>
  <c r="B58" i="4"/>
  <c r="D57" i="4"/>
  <c r="H57" i="4" s="1"/>
  <c r="C57" i="4"/>
  <c r="G57" i="4" s="1"/>
  <c r="B57" i="4"/>
  <c r="D56" i="4"/>
  <c r="H56" i="4" s="1"/>
  <c r="C56" i="4"/>
  <c r="G56" i="4" s="1"/>
  <c r="B56" i="4"/>
  <c r="D55" i="4"/>
  <c r="H55" i="4" s="1"/>
  <c r="C55" i="4"/>
  <c r="G55" i="4" s="1"/>
  <c r="B55" i="4"/>
  <c r="D54" i="4"/>
  <c r="H54" i="4" s="1"/>
  <c r="C54" i="4"/>
  <c r="G54" i="4" s="1"/>
  <c r="B54" i="4"/>
  <c r="D53" i="4"/>
  <c r="H53" i="4" s="1"/>
  <c r="C53" i="4"/>
  <c r="G53" i="4" s="1"/>
  <c r="B53" i="4"/>
  <c r="D52" i="4"/>
  <c r="H52" i="4" s="1"/>
  <c r="C52" i="4"/>
  <c r="G52" i="4" s="1"/>
  <c r="B52" i="4"/>
  <c r="D37" i="4"/>
  <c r="H37" i="4" s="1"/>
  <c r="C37" i="4"/>
  <c r="G37" i="4" s="1"/>
  <c r="B37" i="4"/>
  <c r="D36" i="4"/>
  <c r="H36" i="4" s="1"/>
  <c r="C36" i="4"/>
  <c r="G36" i="4" s="1"/>
  <c r="B36" i="4"/>
  <c r="D35" i="4"/>
  <c r="H35" i="4" s="1"/>
  <c r="C35" i="4"/>
  <c r="G35" i="4" s="1"/>
  <c r="B35" i="4"/>
  <c r="D34" i="4"/>
  <c r="H34" i="4" s="1"/>
  <c r="C34" i="4"/>
  <c r="G34" i="4" s="1"/>
  <c r="B34" i="4"/>
  <c r="D33" i="4"/>
  <c r="H33" i="4" s="1"/>
  <c r="C33" i="4"/>
  <c r="G33" i="4" s="1"/>
  <c r="B33" i="4"/>
  <c r="D32" i="4"/>
  <c r="H32" i="4" s="1"/>
  <c r="C32" i="4"/>
  <c r="G32" i="4" s="1"/>
  <c r="B32" i="4"/>
  <c r="D31" i="4"/>
  <c r="H31" i="4" s="1"/>
  <c r="C31" i="4"/>
  <c r="G31" i="4" s="1"/>
  <c r="B31" i="4"/>
  <c r="D30" i="4"/>
  <c r="H30" i="4" s="1"/>
  <c r="C30" i="4"/>
  <c r="G30" i="4" s="1"/>
  <c r="B30" i="4"/>
  <c r="D29" i="4"/>
  <c r="H29" i="4" s="1"/>
  <c r="C29" i="4"/>
  <c r="G29" i="4" s="1"/>
  <c r="B29" i="4"/>
  <c r="D28" i="4"/>
  <c r="H28" i="4" s="1"/>
  <c r="C28" i="4"/>
  <c r="G28" i="4" s="1"/>
  <c r="B28" i="4"/>
  <c r="D27" i="4"/>
  <c r="H27" i="4" s="1"/>
  <c r="C27" i="4"/>
  <c r="G27" i="4" s="1"/>
  <c r="B27" i="4"/>
  <c r="D26" i="4"/>
  <c r="H26" i="4" s="1"/>
  <c r="C26" i="4"/>
  <c r="G26" i="4" s="1"/>
  <c r="B26" i="4"/>
  <c r="D25" i="4"/>
  <c r="H25" i="4" s="1"/>
  <c r="C25" i="4"/>
  <c r="G25" i="4" s="1"/>
  <c r="B25" i="4"/>
  <c r="D24" i="4"/>
  <c r="H24" i="4" s="1"/>
  <c r="C24" i="4"/>
  <c r="G24" i="4" s="1"/>
  <c r="B24" i="4"/>
  <c r="D10" i="4"/>
  <c r="H10" i="4" s="1"/>
  <c r="C10" i="4"/>
  <c r="G10" i="4" s="1"/>
  <c r="B10" i="4"/>
  <c r="B6" i="4"/>
  <c r="E5" i="4"/>
  <c r="D5" i="4"/>
  <c r="C5" i="4"/>
  <c r="E4" i="4"/>
  <c r="D4" i="4"/>
  <c r="C4" i="4"/>
  <c r="B4" i="4"/>
  <c r="D10" i="3"/>
  <c r="H10" i="3" s="1"/>
  <c r="C10" i="3"/>
  <c r="G10" i="3" s="1"/>
  <c r="B10" i="3"/>
  <c r="B6" i="3"/>
  <c r="E5" i="3"/>
  <c r="D5" i="3"/>
  <c r="C5" i="3"/>
  <c r="E4" i="3"/>
  <c r="D4" i="3"/>
  <c r="C4" i="3"/>
  <c r="B4" i="3"/>
  <c r="D70" i="2"/>
  <c r="H70" i="2" s="1"/>
  <c r="C70" i="2"/>
  <c r="G70" i="2" s="1"/>
  <c r="B70" i="2"/>
  <c r="D69" i="2"/>
  <c r="H69" i="2" s="1"/>
  <c r="C69" i="2"/>
  <c r="G69" i="2" s="1"/>
  <c r="B69" i="2"/>
  <c r="D68" i="2"/>
  <c r="H68" i="2" s="1"/>
  <c r="C68" i="2"/>
  <c r="G68" i="2" s="1"/>
  <c r="B68" i="2"/>
  <c r="D67" i="2"/>
  <c r="H67" i="2" s="1"/>
  <c r="C67" i="2"/>
  <c r="G67" i="2" s="1"/>
  <c r="B67" i="2"/>
  <c r="D66" i="2"/>
  <c r="H66" i="2" s="1"/>
  <c r="C66" i="2"/>
  <c r="G66" i="2" s="1"/>
  <c r="B66" i="2"/>
  <c r="D65" i="2"/>
  <c r="H65" i="2" s="1"/>
  <c r="C65" i="2"/>
  <c r="G65" i="2" s="1"/>
  <c r="B65" i="2"/>
  <c r="D10" i="2"/>
  <c r="H10" i="2" s="1"/>
  <c r="C10" i="2"/>
  <c r="G10" i="2" s="1"/>
  <c r="B10" i="2"/>
  <c r="B6" i="2"/>
  <c r="E5" i="2"/>
  <c r="D5" i="2"/>
  <c r="C5" i="2"/>
  <c r="E4" i="2"/>
  <c r="D4" i="2"/>
  <c r="C4" i="2"/>
  <c r="B4" i="2"/>
  <c r="D25" i="1"/>
  <c r="D20" i="1"/>
  <c r="B20" i="1"/>
  <c r="H47" i="7" l="1"/>
  <c r="G47" i="7"/>
  <c r="M47" i="7" s="1"/>
  <c r="G42" i="8" s="1"/>
  <c r="G46" i="7"/>
  <c r="H46" i="7"/>
  <c r="G45" i="7"/>
  <c r="H45" i="7"/>
  <c r="G44" i="7"/>
  <c r="H44" i="7"/>
  <c r="G43" i="7"/>
  <c r="H43" i="7"/>
  <c r="G42" i="7"/>
  <c r="H42" i="7"/>
  <c r="G41" i="7"/>
  <c r="H41" i="7"/>
  <c r="H40" i="7"/>
  <c r="G40" i="7"/>
  <c r="M40" i="7" s="1"/>
  <c r="G35" i="8" s="1"/>
  <c r="G38" i="7"/>
  <c r="H38" i="7"/>
  <c r="G37" i="7"/>
  <c r="H37" i="7"/>
  <c r="H36" i="7"/>
  <c r="G36" i="7"/>
  <c r="M36" i="7" s="1"/>
  <c r="G31" i="8" s="1"/>
  <c r="G35" i="7"/>
  <c r="H35" i="7"/>
  <c r="G34" i="7"/>
  <c r="H34" i="7"/>
  <c r="H33" i="7"/>
  <c r="G33" i="7"/>
  <c r="M33" i="7" s="1"/>
  <c r="G28" i="8" s="1"/>
  <c r="H32" i="7"/>
  <c r="G32" i="7"/>
  <c r="M32" i="7" s="1"/>
  <c r="G27" i="8" s="1"/>
  <c r="H31" i="7"/>
  <c r="G31" i="7"/>
  <c r="M31" i="7" s="1"/>
  <c r="G26" i="8" s="1"/>
  <c r="H30" i="7"/>
  <c r="G30" i="7"/>
  <c r="M30" i="7" s="1"/>
  <c r="G25" i="8" s="1"/>
  <c r="G29" i="7"/>
  <c r="H29" i="7"/>
  <c r="G27" i="7"/>
  <c r="H27" i="7"/>
  <c r="H26" i="7"/>
  <c r="G26" i="7"/>
  <c r="M26" i="7" s="1"/>
  <c r="G21" i="8" s="1"/>
  <c r="H25" i="7"/>
  <c r="G25" i="7"/>
  <c r="M25" i="7" s="1"/>
  <c r="G20" i="8" s="1"/>
  <c r="H24" i="7"/>
  <c r="G24" i="7"/>
  <c r="M24" i="7" s="1"/>
  <c r="G19" i="8" s="1"/>
  <c r="H23" i="7"/>
  <c r="G23" i="7"/>
  <c r="M23" i="7" s="1"/>
  <c r="G18" i="8" s="1"/>
  <c r="G22" i="7"/>
  <c r="H22" i="7"/>
  <c r="G21" i="7"/>
  <c r="H21" i="7"/>
  <c r="G10" i="7"/>
  <c r="H10" i="7"/>
  <c r="F65" i="7"/>
  <c r="L65" i="7" s="1"/>
  <c r="F64" i="7"/>
  <c r="L64" i="7" s="1"/>
  <c r="F62" i="7"/>
  <c r="L62" i="7" s="1"/>
  <c r="F70" i="7"/>
  <c r="L70" i="7" s="1"/>
  <c r="F69" i="7"/>
  <c r="L69" i="7" s="1"/>
  <c r="F58" i="7"/>
  <c r="L58" i="7" s="1"/>
  <c r="F68" i="7"/>
  <c r="L68" i="7" s="1"/>
  <c r="F20" i="7"/>
  <c r="L20" i="7" s="1"/>
  <c r="F61" i="7"/>
  <c r="L61" i="7" s="1"/>
  <c r="F66" i="7"/>
  <c r="L66" i="7" s="1"/>
  <c r="F59" i="7"/>
  <c r="L59" i="7" s="1"/>
  <c r="F60" i="7"/>
  <c r="L60" i="7" s="1"/>
  <c r="F67" i="7"/>
  <c r="L67" i="7" s="1"/>
  <c r="F63" i="7"/>
  <c r="L63" i="7" s="1"/>
  <c r="F11" i="7"/>
  <c r="L11" i="7" s="1"/>
  <c r="F12" i="7"/>
  <c r="L12" i="7" s="1"/>
  <c r="F13" i="7"/>
  <c r="L13" i="7" s="1"/>
  <c r="F57" i="7"/>
  <c r="L57" i="7" s="1"/>
  <c r="F16" i="7"/>
  <c r="L16" i="7" s="1"/>
  <c r="F56" i="7"/>
  <c r="L56" i="7" s="1"/>
  <c r="F19" i="7"/>
  <c r="L19" i="7" s="1"/>
  <c r="F55" i="7"/>
  <c r="L55" i="7" s="1"/>
  <c r="F14" i="7"/>
  <c r="L14" i="7" s="1"/>
  <c r="F54" i="7"/>
  <c r="L54" i="7" s="1"/>
  <c r="F53" i="7"/>
  <c r="L53" i="7" s="1"/>
  <c r="F52" i="7"/>
  <c r="L52" i="7" s="1"/>
  <c r="F17" i="7"/>
  <c r="L17" i="7" s="1"/>
  <c r="F15" i="7"/>
  <c r="L15" i="7" s="1"/>
  <c r="F51" i="7"/>
  <c r="L51" i="7" s="1"/>
  <c r="F50" i="7"/>
  <c r="L50" i="7" s="1"/>
  <c r="F18" i="7"/>
  <c r="L18" i="7" s="1"/>
  <c r="F49" i="7"/>
  <c r="L49" i="7" s="1"/>
  <c r="F48" i="7"/>
  <c r="L48" i="7" s="1"/>
  <c r="E67" i="7"/>
  <c r="K67" i="7" s="1"/>
  <c r="E13" i="7"/>
  <c r="K13" i="7" s="1"/>
  <c r="E64" i="7"/>
  <c r="E48" i="7"/>
  <c r="K48" i="7" s="1"/>
  <c r="E57" i="7"/>
  <c r="K57" i="7" s="1"/>
  <c r="E20" i="7"/>
  <c r="K20" i="7" s="1"/>
  <c r="E60" i="7"/>
  <c r="K60" i="7" s="1"/>
  <c r="E56" i="7"/>
  <c r="K56" i="7" s="1"/>
  <c r="E70" i="7"/>
  <c r="K70" i="7" s="1"/>
  <c r="E14" i="7"/>
  <c r="K14" i="7" s="1"/>
  <c r="E62" i="7"/>
  <c r="K62" i="7" s="1"/>
  <c r="E55" i="7"/>
  <c r="K55" i="7" s="1"/>
  <c r="E19" i="7"/>
  <c r="K19" i="7" s="1"/>
  <c r="E68" i="7"/>
  <c r="K68" i="7" s="1"/>
  <c r="E66" i="7"/>
  <c r="K66" i="7" s="1"/>
  <c r="E54" i="7"/>
  <c r="K54" i="7" s="1"/>
  <c r="E65" i="7"/>
  <c r="K65" i="7" s="1"/>
  <c r="E53" i="7"/>
  <c r="K53" i="7" s="1"/>
  <c r="E17" i="7"/>
  <c r="K17" i="7" s="1"/>
  <c r="E15" i="7"/>
  <c r="K15" i="7" s="1"/>
  <c r="E63" i="7"/>
  <c r="K63" i="7" s="1"/>
  <c r="E52" i="7"/>
  <c r="K52" i="7" s="1"/>
  <c r="E61" i="7"/>
  <c r="K61" i="7" s="1"/>
  <c r="E59" i="7"/>
  <c r="K59" i="7" s="1"/>
  <c r="E58" i="7"/>
  <c r="K58" i="7" s="1"/>
  <c r="E51" i="7"/>
  <c r="K51" i="7" s="1"/>
  <c r="E49" i="7"/>
  <c r="K49" i="7" s="1"/>
  <c r="E50" i="7"/>
  <c r="K50" i="7" s="1"/>
  <c r="E11" i="7"/>
  <c r="E16" i="7"/>
  <c r="E69" i="7"/>
  <c r="E18" i="7"/>
  <c r="E12" i="7"/>
  <c r="D63" i="7"/>
  <c r="D62" i="7"/>
  <c r="D55" i="7"/>
  <c r="D64" i="7"/>
  <c r="D70" i="7"/>
  <c r="D11" i="7"/>
  <c r="J11" i="7" s="1"/>
  <c r="D65" i="7"/>
  <c r="D54" i="7"/>
  <c r="D19" i="7"/>
  <c r="D15" i="7"/>
  <c r="D68" i="7"/>
  <c r="D12" i="7"/>
  <c r="J12" i="7" s="1"/>
  <c r="D53" i="7"/>
  <c r="D69" i="7"/>
  <c r="J69" i="7" s="1"/>
  <c r="D66" i="7"/>
  <c r="D13" i="7"/>
  <c r="D67" i="7"/>
  <c r="D52" i="7"/>
  <c r="D61" i="7"/>
  <c r="D39" i="7"/>
  <c r="D49" i="7"/>
  <c r="D57" i="7"/>
  <c r="D51" i="7"/>
  <c r="D17" i="7"/>
  <c r="D16" i="7"/>
  <c r="J16" i="7" s="1"/>
  <c r="D59" i="7"/>
  <c r="D14" i="7"/>
  <c r="D50" i="7"/>
  <c r="D20" i="7"/>
  <c r="D18" i="7"/>
  <c r="J18" i="7" s="1"/>
  <c r="D56" i="7"/>
  <c r="D60" i="7"/>
  <c r="D58" i="7"/>
  <c r="D48" i="7"/>
  <c r="C69" i="7"/>
  <c r="I69" i="7" s="1"/>
  <c r="C14" i="7"/>
  <c r="I14" i="7" s="1"/>
  <c r="C13" i="7"/>
  <c r="I13" i="7" s="1"/>
  <c r="C12" i="7"/>
  <c r="I12" i="7" s="1"/>
  <c r="C65" i="7"/>
  <c r="I65" i="7" s="1"/>
  <c r="C64" i="7"/>
  <c r="I64" i="7" s="1"/>
  <c r="C11" i="7"/>
  <c r="I11" i="7" s="1"/>
  <c r="C62" i="7"/>
  <c r="I62" i="7" s="1"/>
  <c r="C57" i="7"/>
  <c r="I57" i="7" s="1"/>
  <c r="C56" i="7"/>
  <c r="I56" i="7" s="1"/>
  <c r="C60" i="7"/>
  <c r="I60" i="7" s="1"/>
  <c r="C59" i="7"/>
  <c r="I59" i="7" s="1"/>
  <c r="C58" i="7"/>
  <c r="I58" i="7" s="1"/>
  <c r="C55" i="7"/>
  <c r="I55" i="7" s="1"/>
  <c r="C70" i="7"/>
  <c r="I70" i="7" s="1"/>
  <c r="C54" i="7"/>
  <c r="I54" i="7" s="1"/>
  <c r="C53" i="7"/>
  <c r="I53" i="7" s="1"/>
  <c r="C68" i="7"/>
  <c r="I68" i="7" s="1"/>
  <c r="C67" i="7"/>
  <c r="I67" i="7" s="1"/>
  <c r="C66" i="7"/>
  <c r="I66" i="7" s="1"/>
  <c r="C51" i="7"/>
  <c r="I51" i="7" s="1"/>
  <c r="C50" i="7"/>
  <c r="I50" i="7" s="1"/>
  <c r="C63" i="7"/>
  <c r="I63" i="7" s="1"/>
  <c r="C61" i="7"/>
  <c r="I61" i="7" s="1"/>
  <c r="C49" i="7"/>
  <c r="I49" i="7" s="1"/>
  <c r="C20" i="7"/>
  <c r="I20" i="7" s="1"/>
  <c r="C19" i="7"/>
  <c r="I19" i="7" s="1"/>
  <c r="C18" i="7"/>
  <c r="I18" i="7" s="1"/>
  <c r="C48" i="7"/>
  <c r="I48" i="7" s="1"/>
  <c r="C52" i="7"/>
  <c r="I52" i="7" s="1"/>
  <c r="C17" i="7"/>
  <c r="I17" i="7" s="1"/>
  <c r="C16" i="7"/>
  <c r="I16" i="7" s="1"/>
  <c r="C15" i="7"/>
  <c r="I15" i="7" s="1"/>
  <c r="B68" i="7"/>
  <c r="B67" i="7"/>
  <c r="B66" i="7"/>
  <c r="B63" i="7"/>
  <c r="B62" i="7"/>
  <c r="B61" i="7"/>
  <c r="B48" i="7"/>
  <c r="B70" i="7"/>
  <c r="B69" i="7"/>
  <c r="B65" i="7"/>
  <c r="B64" i="7"/>
  <c r="B60" i="7"/>
  <c r="B59" i="7"/>
  <c r="B58" i="7"/>
  <c r="B49" i="7"/>
  <c r="B12" i="7"/>
  <c r="B51" i="7"/>
  <c r="B11" i="7"/>
  <c r="B50" i="7"/>
  <c r="B19" i="7"/>
  <c r="B16" i="7"/>
  <c r="B52" i="7"/>
  <c r="B54" i="7"/>
  <c r="B18" i="7"/>
  <c r="B15" i="7"/>
  <c r="B55" i="7"/>
  <c r="B56" i="7"/>
  <c r="B53" i="7"/>
  <c r="B57" i="7"/>
  <c r="B17" i="7"/>
  <c r="B14" i="7"/>
  <c r="B20" i="7"/>
  <c r="B13" i="7"/>
  <c r="H53" i="6"/>
  <c r="G53" i="6"/>
  <c r="M53" i="6" s="1"/>
  <c r="F48" i="8" s="1"/>
  <c r="H52" i="6"/>
  <c r="G52" i="6"/>
  <c r="M52" i="6" s="1"/>
  <c r="F47" i="8" s="1"/>
  <c r="G51" i="6"/>
  <c r="M51" i="6" s="1"/>
  <c r="F46" i="8" s="1"/>
  <c r="H51" i="6"/>
  <c r="G50" i="6"/>
  <c r="H50" i="6"/>
  <c r="G49" i="6"/>
  <c r="H49" i="6"/>
  <c r="G48" i="6"/>
  <c r="H48" i="6"/>
  <c r="G47" i="6"/>
  <c r="H47" i="6"/>
  <c r="G46" i="6"/>
  <c r="M46" i="6" s="1"/>
  <c r="F41" i="8" s="1"/>
  <c r="H46" i="6"/>
  <c r="H37" i="6"/>
  <c r="G37" i="6"/>
  <c r="M37" i="6" s="1"/>
  <c r="F32" i="8" s="1"/>
  <c r="H36" i="6"/>
  <c r="G36" i="6"/>
  <c r="M36" i="6" s="1"/>
  <c r="F31" i="8" s="1"/>
  <c r="G35" i="6"/>
  <c r="H35" i="6"/>
  <c r="G34" i="6"/>
  <c r="H34" i="6"/>
  <c r="H33" i="6"/>
  <c r="G33" i="6"/>
  <c r="M33" i="6" s="1"/>
  <c r="F28" i="8" s="1"/>
  <c r="G32" i="6"/>
  <c r="H32" i="6"/>
  <c r="H31" i="6"/>
  <c r="G31" i="6"/>
  <c r="M31" i="6" s="1"/>
  <c r="F26" i="8" s="1"/>
  <c r="H30" i="6"/>
  <c r="G30" i="6"/>
  <c r="M30" i="6" s="1"/>
  <c r="F25" i="8" s="1"/>
  <c r="G29" i="6"/>
  <c r="H29" i="6"/>
  <c r="H28" i="6"/>
  <c r="G28" i="6"/>
  <c r="M28" i="6" s="1"/>
  <c r="F23" i="8" s="1"/>
  <c r="H27" i="6"/>
  <c r="G27" i="6"/>
  <c r="M27" i="6" s="1"/>
  <c r="F22" i="8" s="1"/>
  <c r="H10" i="6"/>
  <c r="G10" i="6"/>
  <c r="M10" i="6" s="1"/>
  <c r="F5" i="8" s="1"/>
  <c r="F16" i="6"/>
  <c r="L16" i="6" s="1"/>
  <c r="F62" i="6"/>
  <c r="L62" i="6" s="1"/>
  <c r="F23" i="6"/>
  <c r="L23" i="6" s="1"/>
  <c r="F70" i="6"/>
  <c r="L70" i="6" s="1"/>
  <c r="F39" i="6"/>
  <c r="L39" i="6" s="1"/>
  <c r="F69" i="6"/>
  <c r="L69" i="6" s="1"/>
  <c r="F26" i="6"/>
  <c r="L26" i="6" s="1"/>
  <c r="F24" i="6"/>
  <c r="L24" i="6" s="1"/>
  <c r="F61" i="6"/>
  <c r="L61" i="6" s="1"/>
  <c r="F68" i="6"/>
  <c r="L68" i="6" s="1"/>
  <c r="F13" i="6"/>
  <c r="L13" i="6" s="1"/>
  <c r="F67" i="6"/>
  <c r="L67" i="6" s="1"/>
  <c r="F25" i="6"/>
  <c r="L25" i="6" s="1"/>
  <c r="F40" i="6"/>
  <c r="L40" i="6" s="1"/>
  <c r="F54" i="6"/>
  <c r="L54" i="6" s="1"/>
  <c r="F60" i="6"/>
  <c r="L60" i="6" s="1"/>
  <c r="F66" i="6"/>
  <c r="L66" i="6" s="1"/>
  <c r="F17" i="6"/>
  <c r="L17" i="6" s="1"/>
  <c r="F41" i="6"/>
  <c r="L41" i="6" s="1"/>
  <c r="F59" i="6"/>
  <c r="L59" i="6" s="1"/>
  <c r="F65" i="6"/>
  <c r="L65" i="6" s="1"/>
  <c r="F42" i="6"/>
  <c r="L42" i="6" s="1"/>
  <c r="F58" i="6"/>
  <c r="L58" i="6" s="1"/>
  <c r="F64" i="6"/>
  <c r="F43" i="6"/>
  <c r="L43" i="6" s="1"/>
  <c r="F44" i="6"/>
  <c r="L44" i="6" s="1"/>
  <c r="F21" i="6"/>
  <c r="L21" i="6" s="1"/>
  <c r="F18" i="6"/>
  <c r="L18" i="6" s="1"/>
  <c r="F14" i="6"/>
  <c r="L14" i="6" s="1"/>
  <c r="F22" i="6"/>
  <c r="L22" i="6" s="1"/>
  <c r="F20" i="6"/>
  <c r="L20" i="6" s="1"/>
  <c r="F45" i="6"/>
  <c r="L45" i="6" s="1"/>
  <c r="F12" i="6"/>
  <c r="L12" i="6" s="1"/>
  <c r="F55" i="6"/>
  <c r="L55" i="6" s="1"/>
  <c r="F19" i="6"/>
  <c r="L19" i="6" s="1"/>
  <c r="F11" i="6"/>
  <c r="L11" i="6" s="1"/>
  <c r="F57" i="6"/>
  <c r="L57" i="6" s="1"/>
  <c r="F15" i="6"/>
  <c r="L15" i="6" s="1"/>
  <c r="F56" i="6"/>
  <c r="L56" i="6" s="1"/>
  <c r="F63" i="6"/>
  <c r="L63" i="6" s="1"/>
  <c r="F38" i="6"/>
  <c r="L38" i="6" s="1"/>
  <c r="E23" i="6"/>
  <c r="K23" i="6" s="1"/>
  <c r="E70" i="6"/>
  <c r="K70" i="6" s="1"/>
  <c r="E69" i="6"/>
  <c r="K69" i="6" s="1"/>
  <c r="E68" i="6"/>
  <c r="K68" i="6" s="1"/>
  <c r="E25" i="6"/>
  <c r="K25" i="6" s="1"/>
  <c r="E67" i="6"/>
  <c r="K67" i="6" s="1"/>
  <c r="E26" i="6"/>
  <c r="K26" i="6" s="1"/>
  <c r="E24" i="6"/>
  <c r="K24" i="6" s="1"/>
  <c r="E54" i="6"/>
  <c r="K54" i="6" s="1"/>
  <c r="E65" i="6"/>
  <c r="K65" i="6" s="1"/>
  <c r="E62" i="6"/>
  <c r="K62" i="6" s="1"/>
  <c r="E16" i="6"/>
  <c r="K16" i="6" s="1"/>
  <c r="E21" i="6"/>
  <c r="K21" i="6" s="1"/>
  <c r="E22" i="6"/>
  <c r="K22" i="6" s="1"/>
  <c r="E20" i="6"/>
  <c r="K20" i="6" s="1"/>
  <c r="E12" i="6"/>
  <c r="K12" i="6" s="1"/>
  <c r="E41" i="6"/>
  <c r="K41" i="6" s="1"/>
  <c r="E38" i="6"/>
  <c r="K38" i="6" s="1"/>
  <c r="E63" i="6"/>
  <c r="K63" i="6" s="1"/>
  <c r="E59" i="6"/>
  <c r="K59" i="6" s="1"/>
  <c r="E17" i="6"/>
  <c r="K17" i="6" s="1"/>
  <c r="E42" i="6"/>
  <c r="K42" i="6" s="1"/>
  <c r="E61" i="6"/>
  <c r="K61" i="6" s="1"/>
  <c r="E13" i="6"/>
  <c r="K13" i="6" s="1"/>
  <c r="E58" i="6"/>
  <c r="K58" i="6" s="1"/>
  <c r="E15" i="6"/>
  <c r="K15" i="6" s="1"/>
  <c r="E43" i="6"/>
  <c r="K43" i="6" s="1"/>
  <c r="E40" i="6"/>
  <c r="K40" i="6" s="1"/>
  <c r="E11" i="6"/>
  <c r="K11" i="6" s="1"/>
  <c r="E57" i="6"/>
  <c r="K57" i="6" s="1"/>
  <c r="E14" i="6"/>
  <c r="K14" i="6" s="1"/>
  <c r="E44" i="6"/>
  <c r="K44" i="6" s="1"/>
  <c r="E66" i="6"/>
  <c r="K66" i="6" s="1"/>
  <c r="E45" i="6"/>
  <c r="K45" i="6" s="1"/>
  <c r="E56" i="6"/>
  <c r="K56" i="6" s="1"/>
  <c r="E19" i="6"/>
  <c r="K19" i="6" s="1"/>
  <c r="E60" i="6"/>
  <c r="K60" i="6" s="1"/>
  <c r="E18" i="6"/>
  <c r="K18" i="6" s="1"/>
  <c r="E39" i="6"/>
  <c r="K39" i="6" s="1"/>
  <c r="E55" i="6"/>
  <c r="K55" i="6" s="1"/>
  <c r="D70" i="6"/>
  <c r="J70" i="6" s="1"/>
  <c r="D23" i="6"/>
  <c r="J23" i="6" s="1"/>
  <c r="D26" i="6"/>
  <c r="J26" i="6" s="1"/>
  <c r="D25" i="6"/>
  <c r="J25" i="6" s="1"/>
  <c r="D24" i="6"/>
  <c r="J24" i="6" s="1"/>
  <c r="D21" i="6"/>
  <c r="J21" i="6" s="1"/>
  <c r="D22" i="6"/>
  <c r="J22" i="6" s="1"/>
  <c r="D12" i="6"/>
  <c r="J12" i="6" s="1"/>
  <c r="D11" i="6"/>
  <c r="J11" i="6" s="1"/>
  <c r="D63" i="6"/>
  <c r="J63" i="6" s="1"/>
  <c r="D61" i="6"/>
  <c r="J61" i="6" s="1"/>
  <c r="D60" i="6"/>
  <c r="J60" i="6" s="1"/>
  <c r="D59" i="6"/>
  <c r="J59" i="6" s="1"/>
  <c r="D58" i="6"/>
  <c r="J58" i="6" s="1"/>
  <c r="D57" i="6"/>
  <c r="J57" i="6" s="1"/>
  <c r="D56" i="6"/>
  <c r="J56" i="6" s="1"/>
  <c r="D55" i="6"/>
  <c r="J55" i="6" s="1"/>
  <c r="D54" i="6"/>
  <c r="J54" i="6" s="1"/>
  <c r="D13" i="6"/>
  <c r="J13" i="6" s="1"/>
  <c r="D14" i="6"/>
  <c r="J14" i="6" s="1"/>
  <c r="D15" i="6"/>
  <c r="J15" i="6" s="1"/>
  <c r="D62" i="6"/>
  <c r="J62" i="6" s="1"/>
  <c r="D16" i="6"/>
  <c r="J16" i="6" s="1"/>
  <c r="D17" i="6"/>
  <c r="J17" i="6" s="1"/>
  <c r="D18" i="6"/>
  <c r="J18" i="6" s="1"/>
  <c r="D19" i="6"/>
  <c r="J19" i="6" s="1"/>
  <c r="D45" i="6"/>
  <c r="J45" i="6" s="1"/>
  <c r="D44" i="6"/>
  <c r="J44" i="6" s="1"/>
  <c r="D43" i="6"/>
  <c r="J43" i="6" s="1"/>
  <c r="D42" i="6"/>
  <c r="J42" i="6" s="1"/>
  <c r="D41" i="6"/>
  <c r="J41" i="6" s="1"/>
  <c r="D40" i="6"/>
  <c r="J40" i="6" s="1"/>
  <c r="D38" i="6"/>
  <c r="J38" i="6" s="1"/>
  <c r="D20" i="6"/>
  <c r="J20" i="6" s="1"/>
  <c r="D65" i="6"/>
  <c r="J65" i="6" s="1"/>
  <c r="D66" i="6"/>
  <c r="J66" i="6" s="1"/>
  <c r="D39" i="6"/>
  <c r="J39" i="6" s="1"/>
  <c r="D67" i="6"/>
  <c r="J67" i="6" s="1"/>
  <c r="D68" i="6"/>
  <c r="J68" i="6" s="1"/>
  <c r="D69" i="6"/>
  <c r="J69" i="6" s="1"/>
  <c r="C57" i="6"/>
  <c r="I57" i="6" s="1"/>
  <c r="C15" i="6"/>
  <c r="I15" i="6" s="1"/>
  <c r="C63" i="6"/>
  <c r="I63" i="6" s="1"/>
  <c r="C55" i="6"/>
  <c r="I55" i="6" s="1"/>
  <c r="C70" i="6"/>
  <c r="I70" i="6" s="1"/>
  <c r="C56" i="6"/>
  <c r="I56" i="6" s="1"/>
  <c r="C13" i="6"/>
  <c r="I13" i="6" s="1"/>
  <c r="C38" i="6"/>
  <c r="I38" i="6" s="1"/>
  <c r="C11" i="6"/>
  <c r="I11" i="6" s="1"/>
  <c r="C23" i="6"/>
  <c r="I23" i="6" s="1"/>
  <c r="C45" i="6"/>
  <c r="I45" i="6" s="1"/>
  <c r="C16" i="6"/>
  <c r="I16" i="6" s="1"/>
  <c r="C12" i="6"/>
  <c r="I12" i="6" s="1"/>
  <c r="C44" i="6"/>
  <c r="I44" i="6" s="1"/>
  <c r="C20" i="6"/>
  <c r="I20" i="6" s="1"/>
  <c r="C18" i="6"/>
  <c r="I18" i="6" s="1"/>
  <c r="C58" i="6"/>
  <c r="I58" i="6" s="1"/>
  <c r="C17" i="6"/>
  <c r="I17" i="6" s="1"/>
  <c r="C43" i="6"/>
  <c r="I43" i="6" s="1"/>
  <c r="C22" i="6"/>
  <c r="I22" i="6" s="1"/>
  <c r="C21" i="6"/>
  <c r="I21" i="6" s="1"/>
  <c r="C59" i="6"/>
  <c r="I59" i="6" s="1"/>
  <c r="C24" i="6"/>
  <c r="I24" i="6" s="1"/>
  <c r="C42" i="6"/>
  <c r="I42" i="6" s="1"/>
  <c r="C66" i="6"/>
  <c r="I66" i="6" s="1"/>
  <c r="C54" i="6"/>
  <c r="I54" i="6" s="1"/>
  <c r="C60" i="6"/>
  <c r="I60" i="6" s="1"/>
  <c r="C14" i="6"/>
  <c r="I14" i="6" s="1"/>
  <c r="C41" i="6"/>
  <c r="I41" i="6" s="1"/>
  <c r="C67" i="6"/>
  <c r="I67" i="6" s="1"/>
  <c r="C25" i="6"/>
  <c r="I25" i="6" s="1"/>
  <c r="C61" i="6"/>
  <c r="I61" i="6" s="1"/>
  <c r="C19" i="6"/>
  <c r="I19" i="6" s="1"/>
  <c r="C40" i="6"/>
  <c r="I40" i="6" s="1"/>
  <c r="C26" i="6"/>
  <c r="I26" i="6" s="1"/>
  <c r="C65" i="6"/>
  <c r="I65" i="6" s="1"/>
  <c r="C62" i="6"/>
  <c r="I62" i="6" s="1"/>
  <c r="C68" i="6"/>
  <c r="I68" i="6" s="1"/>
  <c r="C39" i="6"/>
  <c r="I39" i="6" s="1"/>
  <c r="C69" i="6"/>
  <c r="I69" i="6" s="1"/>
  <c r="B57" i="6"/>
  <c r="B55" i="6"/>
  <c r="B56" i="6"/>
  <c r="B15" i="6"/>
  <c r="B16" i="6"/>
  <c r="B45" i="6"/>
  <c r="B67" i="6"/>
  <c r="B17" i="6"/>
  <c r="B44" i="6"/>
  <c r="B58" i="6"/>
  <c r="B43" i="6"/>
  <c r="B59" i="6"/>
  <c r="B13" i="6"/>
  <c r="B42" i="6"/>
  <c r="B60" i="6"/>
  <c r="B41" i="6"/>
  <c r="B61" i="6"/>
  <c r="B14" i="6"/>
  <c r="B40" i="6"/>
  <c r="B21" i="6"/>
  <c r="B39" i="6"/>
  <c r="B63" i="6"/>
  <c r="B18" i="6"/>
  <c r="B38" i="6"/>
  <c r="B64" i="6"/>
  <c r="B25" i="6"/>
  <c r="B19" i="6"/>
  <c r="B65" i="6"/>
  <c r="B26" i="6"/>
  <c r="B68" i="6"/>
  <c r="B12" i="6"/>
  <c r="B24" i="6"/>
  <c r="B69" i="6"/>
  <c r="B23" i="6"/>
  <c r="B66" i="6"/>
  <c r="B62" i="6"/>
  <c r="B70" i="6"/>
  <c r="B20" i="6"/>
  <c r="B54" i="6"/>
  <c r="B11" i="6"/>
  <c r="B22" i="6"/>
  <c r="G59" i="5"/>
  <c r="G19" i="5"/>
  <c r="H10" i="5"/>
  <c r="G10" i="5"/>
  <c r="M10" i="5" s="1"/>
  <c r="E5" i="8" s="1"/>
  <c r="F53" i="5"/>
  <c r="L53" i="5" s="1"/>
  <c r="F11" i="5"/>
  <c r="L11" i="5" s="1"/>
  <c r="F64" i="5"/>
  <c r="L64" i="5" s="1"/>
  <c r="F63" i="5"/>
  <c r="L63" i="5" s="1"/>
  <c r="F62" i="5"/>
  <c r="L62" i="5" s="1"/>
  <c r="F61" i="5"/>
  <c r="L61" i="5" s="1"/>
  <c r="F13" i="5"/>
  <c r="L13" i="5" s="1"/>
  <c r="F60" i="5"/>
  <c r="L60" i="5" s="1"/>
  <c r="F59" i="5"/>
  <c r="L59" i="5" s="1"/>
  <c r="F70" i="5"/>
  <c r="L70" i="5" s="1"/>
  <c r="F51" i="5"/>
  <c r="L51" i="5" s="1"/>
  <c r="F50" i="5"/>
  <c r="L50" i="5" s="1"/>
  <c r="F49" i="5"/>
  <c r="L49" i="5" s="1"/>
  <c r="F48" i="5"/>
  <c r="L48" i="5" s="1"/>
  <c r="F47" i="5"/>
  <c r="L47" i="5" s="1"/>
  <c r="F46" i="5"/>
  <c r="L46" i="5" s="1"/>
  <c r="F45" i="5"/>
  <c r="L45" i="5" s="1"/>
  <c r="F44" i="5"/>
  <c r="L44" i="5" s="1"/>
  <c r="F43" i="5"/>
  <c r="L43" i="5" s="1"/>
  <c r="F42" i="5"/>
  <c r="L42" i="5" s="1"/>
  <c r="F41" i="5"/>
  <c r="L41" i="5" s="1"/>
  <c r="F40" i="5"/>
  <c r="L40" i="5" s="1"/>
  <c r="F39" i="5"/>
  <c r="L39" i="5" s="1"/>
  <c r="F38" i="5"/>
  <c r="L38" i="5" s="1"/>
  <c r="F37" i="5"/>
  <c r="L37" i="5" s="1"/>
  <c r="F36" i="5"/>
  <c r="L36" i="5" s="1"/>
  <c r="F35" i="5"/>
  <c r="L35" i="5" s="1"/>
  <c r="F34" i="5"/>
  <c r="L34" i="5" s="1"/>
  <c r="F33" i="5"/>
  <c r="L33" i="5" s="1"/>
  <c r="F18" i="5"/>
  <c r="L18" i="5" s="1"/>
  <c r="F17" i="5"/>
  <c r="L17" i="5" s="1"/>
  <c r="F57" i="5"/>
  <c r="L57" i="5" s="1"/>
  <c r="F16" i="5"/>
  <c r="L16" i="5" s="1"/>
  <c r="F15" i="5"/>
  <c r="L15" i="5" s="1"/>
  <c r="F32" i="5"/>
  <c r="L32" i="5" s="1"/>
  <c r="F58" i="5"/>
  <c r="L58" i="5" s="1"/>
  <c r="F31" i="5"/>
  <c r="L31" i="5" s="1"/>
  <c r="F30" i="5"/>
  <c r="L30" i="5" s="1"/>
  <c r="F29" i="5"/>
  <c r="L29" i="5" s="1"/>
  <c r="F28" i="5"/>
  <c r="L28" i="5" s="1"/>
  <c r="F27" i="5"/>
  <c r="L27" i="5" s="1"/>
  <c r="F26" i="5"/>
  <c r="L26" i="5" s="1"/>
  <c r="F56" i="5"/>
  <c r="L56" i="5" s="1"/>
  <c r="F25" i="5"/>
  <c r="L25" i="5" s="1"/>
  <c r="F55" i="5"/>
  <c r="L55" i="5" s="1"/>
  <c r="F24" i="5"/>
  <c r="L24" i="5" s="1"/>
  <c r="F23" i="5"/>
  <c r="L23" i="5" s="1"/>
  <c r="F54" i="5"/>
  <c r="L54" i="5" s="1"/>
  <c r="F22" i="5"/>
  <c r="L22" i="5" s="1"/>
  <c r="F21" i="5"/>
  <c r="L21" i="5" s="1"/>
  <c r="F20" i="5"/>
  <c r="L20" i="5" s="1"/>
  <c r="F19" i="5"/>
  <c r="L19" i="5" s="1"/>
  <c r="F69" i="5"/>
  <c r="L69" i="5" s="1"/>
  <c r="F14" i="5"/>
  <c r="L14" i="5" s="1"/>
  <c r="F68" i="5"/>
  <c r="L68" i="5" s="1"/>
  <c r="F67" i="5"/>
  <c r="L67" i="5" s="1"/>
  <c r="F66" i="5"/>
  <c r="L66" i="5" s="1"/>
  <c r="F12" i="5"/>
  <c r="L12" i="5" s="1"/>
  <c r="F65" i="5"/>
  <c r="L65" i="5" s="1"/>
  <c r="E49" i="5"/>
  <c r="E68" i="5"/>
  <c r="K68" i="5" s="1"/>
  <c r="E38" i="5"/>
  <c r="E24" i="5"/>
  <c r="K24" i="5" s="1"/>
  <c r="E50" i="5"/>
  <c r="E65" i="5"/>
  <c r="K65" i="5" s="1"/>
  <c r="E12" i="5"/>
  <c r="K12" i="5" s="1"/>
  <c r="E39" i="5"/>
  <c r="E11" i="5"/>
  <c r="E16" i="5"/>
  <c r="K16" i="5" s="1"/>
  <c r="E56" i="5"/>
  <c r="K56" i="5" s="1"/>
  <c r="E37" i="5"/>
  <c r="E25" i="5"/>
  <c r="K25" i="5" s="1"/>
  <c r="E40" i="5"/>
  <c r="E51" i="5"/>
  <c r="E67" i="5"/>
  <c r="K67" i="5" s="1"/>
  <c r="E36" i="5"/>
  <c r="E54" i="5"/>
  <c r="K54" i="5" s="1"/>
  <c r="E63" i="5"/>
  <c r="E15" i="5"/>
  <c r="K15" i="5" s="1"/>
  <c r="E62" i="5"/>
  <c r="E61" i="5"/>
  <c r="E32" i="5"/>
  <c r="K32" i="5" s="1"/>
  <c r="E19" i="5"/>
  <c r="K19" i="5" s="1"/>
  <c r="E26" i="5"/>
  <c r="K26" i="5" s="1"/>
  <c r="E41" i="5"/>
  <c r="E42" i="5"/>
  <c r="E31" i="5"/>
  <c r="K31" i="5" s="1"/>
  <c r="E20" i="5"/>
  <c r="K20" i="5" s="1"/>
  <c r="E17" i="5"/>
  <c r="K17" i="5" s="1"/>
  <c r="E43" i="5"/>
  <c r="E55" i="5"/>
  <c r="K55" i="5" s="1"/>
  <c r="E21" i="5"/>
  <c r="K21" i="5" s="1"/>
  <c r="E27" i="5"/>
  <c r="K27" i="5" s="1"/>
  <c r="E66" i="5"/>
  <c r="K66" i="5" s="1"/>
  <c r="E30" i="5"/>
  <c r="K30" i="5" s="1"/>
  <c r="E22" i="5"/>
  <c r="K22" i="5" s="1"/>
  <c r="E58" i="5"/>
  <c r="K58" i="5" s="1"/>
  <c r="E35" i="5"/>
  <c r="K35" i="5" s="1"/>
  <c r="E60" i="5"/>
  <c r="E69" i="5"/>
  <c r="K69" i="5" s="1"/>
  <c r="E28" i="5"/>
  <c r="K28" i="5" s="1"/>
  <c r="E44" i="5"/>
  <c r="E57" i="5"/>
  <c r="K57" i="5" s="1"/>
  <c r="E45" i="5"/>
  <c r="E53" i="5"/>
  <c r="E64" i="5"/>
  <c r="E52" i="5"/>
  <c r="K52" i="5" s="1"/>
  <c r="E46" i="5"/>
  <c r="E14" i="5"/>
  <c r="K14" i="5" s="1"/>
  <c r="E13" i="5"/>
  <c r="E29" i="5"/>
  <c r="K29" i="5" s="1"/>
  <c r="E47" i="5"/>
  <c r="E70" i="5"/>
  <c r="E59" i="5"/>
  <c r="E18" i="5"/>
  <c r="K18" i="5" s="1"/>
  <c r="E34" i="5"/>
  <c r="K34" i="5" s="1"/>
  <c r="E48" i="5"/>
  <c r="E23" i="5"/>
  <c r="K23" i="5" s="1"/>
  <c r="E33" i="5"/>
  <c r="K33" i="5" s="1"/>
  <c r="D67" i="5"/>
  <c r="J67" i="5" s="1"/>
  <c r="D52" i="5"/>
  <c r="J52" i="5" s="1"/>
  <c r="D14" i="5"/>
  <c r="J14" i="5" s="1"/>
  <c r="D38" i="5"/>
  <c r="J38" i="5" s="1"/>
  <c r="D16" i="5"/>
  <c r="J16" i="5" s="1"/>
  <c r="D13" i="5"/>
  <c r="J13" i="5" s="1"/>
  <c r="D37" i="5"/>
  <c r="J37" i="5" s="1"/>
  <c r="D61" i="5"/>
  <c r="J61" i="5" s="1"/>
  <c r="D36" i="5"/>
  <c r="J36" i="5" s="1"/>
  <c r="D69" i="5"/>
  <c r="J69" i="5" s="1"/>
  <c r="D20" i="5"/>
  <c r="J20" i="5" s="1"/>
  <c r="D21" i="5"/>
  <c r="J21" i="5" s="1"/>
  <c r="D59" i="5"/>
  <c r="J59" i="5" s="1"/>
  <c r="D22" i="5"/>
  <c r="J22" i="5" s="1"/>
  <c r="D57" i="5"/>
  <c r="J57" i="5" s="1"/>
  <c r="D56" i="5"/>
  <c r="J56" i="5" s="1"/>
  <c r="D55" i="5"/>
  <c r="J55" i="5" s="1"/>
  <c r="D54" i="5"/>
  <c r="J54" i="5" s="1"/>
  <c r="D35" i="5"/>
  <c r="J35" i="5" s="1"/>
  <c r="D11" i="5"/>
  <c r="J11" i="5" s="1"/>
  <c r="D23" i="5"/>
  <c r="J23" i="5" s="1"/>
  <c r="D24" i="5"/>
  <c r="J24" i="5" s="1"/>
  <c r="D25" i="5"/>
  <c r="J25" i="5" s="1"/>
  <c r="D27" i="5"/>
  <c r="J27" i="5" s="1"/>
  <c r="D28" i="5"/>
  <c r="J28" i="5" s="1"/>
  <c r="D60" i="5"/>
  <c r="J60" i="5" s="1"/>
  <c r="D29" i="5"/>
  <c r="J29" i="5" s="1"/>
  <c r="D58" i="5"/>
  <c r="J58" i="5" s="1"/>
  <c r="D15" i="5"/>
  <c r="J15" i="5" s="1"/>
  <c r="D62" i="5"/>
  <c r="J62" i="5" s="1"/>
  <c r="D19" i="5"/>
  <c r="J19" i="5" s="1"/>
  <c r="D53" i="5"/>
  <c r="J53" i="5" s="1"/>
  <c r="D70" i="5"/>
  <c r="J70" i="5" s="1"/>
  <c r="D34" i="5"/>
  <c r="J34" i="5" s="1"/>
  <c r="D68" i="5"/>
  <c r="J68" i="5" s="1"/>
  <c r="D30" i="5"/>
  <c r="J30" i="5" s="1"/>
  <c r="D66" i="5"/>
  <c r="J66" i="5" s="1"/>
  <c r="D31" i="5"/>
  <c r="J31" i="5" s="1"/>
  <c r="D32" i="5"/>
  <c r="J32" i="5" s="1"/>
  <c r="D26" i="5"/>
  <c r="J26" i="5" s="1"/>
  <c r="D51" i="5"/>
  <c r="J51" i="5" s="1"/>
  <c r="D50" i="5"/>
  <c r="J50" i="5" s="1"/>
  <c r="D65" i="5"/>
  <c r="J65" i="5" s="1"/>
  <c r="D49" i="5"/>
  <c r="J49" i="5" s="1"/>
  <c r="D48" i="5"/>
  <c r="J48" i="5" s="1"/>
  <c r="D33" i="5"/>
  <c r="J33" i="5" s="1"/>
  <c r="D47" i="5"/>
  <c r="J47" i="5" s="1"/>
  <c r="D18" i="5"/>
  <c r="J18" i="5" s="1"/>
  <c r="D46" i="5"/>
  <c r="J46" i="5" s="1"/>
  <c r="D45" i="5"/>
  <c r="J45" i="5" s="1"/>
  <c r="D12" i="5"/>
  <c r="J12" i="5" s="1"/>
  <c r="D64" i="5"/>
  <c r="J64" i="5" s="1"/>
  <c r="D44" i="5"/>
  <c r="J44" i="5" s="1"/>
  <c r="D43" i="5"/>
  <c r="J43" i="5" s="1"/>
  <c r="D17" i="5"/>
  <c r="J17" i="5" s="1"/>
  <c r="D42" i="5"/>
  <c r="J42" i="5" s="1"/>
  <c r="D41" i="5"/>
  <c r="J41" i="5" s="1"/>
  <c r="D40" i="5"/>
  <c r="J40" i="5" s="1"/>
  <c r="D63" i="5"/>
  <c r="J63" i="5" s="1"/>
  <c r="D39" i="5"/>
  <c r="J39" i="5" s="1"/>
  <c r="C13" i="5"/>
  <c r="I13" i="5" s="1"/>
  <c r="C28" i="5"/>
  <c r="I28" i="5" s="1"/>
  <c r="C50" i="5"/>
  <c r="I50" i="5" s="1"/>
  <c r="C62" i="5"/>
  <c r="I62" i="5" s="1"/>
  <c r="C30" i="5"/>
  <c r="I30" i="5" s="1"/>
  <c r="C24" i="5"/>
  <c r="I24" i="5" s="1"/>
  <c r="C34" i="5"/>
  <c r="I34" i="5" s="1"/>
  <c r="C49" i="5"/>
  <c r="I49" i="5" s="1"/>
  <c r="C66" i="5"/>
  <c r="I66" i="5" s="1"/>
  <c r="C65" i="5"/>
  <c r="I65" i="5" s="1"/>
  <c r="C11" i="5"/>
  <c r="I11" i="5" s="1"/>
  <c r="C70" i="5"/>
  <c r="I70" i="5" s="1"/>
  <c r="C48" i="5"/>
  <c r="I48" i="5" s="1"/>
  <c r="C60" i="5"/>
  <c r="I60" i="5" s="1"/>
  <c r="C23" i="5"/>
  <c r="I23" i="5" s="1"/>
  <c r="C12" i="5"/>
  <c r="I12" i="5" s="1"/>
  <c r="C57" i="5"/>
  <c r="I57" i="5" s="1"/>
  <c r="C47" i="5"/>
  <c r="I47" i="5" s="1"/>
  <c r="C31" i="5"/>
  <c r="I31" i="5" s="1"/>
  <c r="C67" i="5"/>
  <c r="I67" i="5" s="1"/>
  <c r="C52" i="5"/>
  <c r="I52" i="5" s="1"/>
  <c r="C58" i="5"/>
  <c r="I58" i="5" s="1"/>
  <c r="C46" i="5"/>
  <c r="I46" i="5" s="1"/>
  <c r="C18" i="5"/>
  <c r="I18" i="5" s="1"/>
  <c r="C53" i="5"/>
  <c r="I53" i="5" s="1"/>
  <c r="C54" i="5"/>
  <c r="I54" i="5" s="1"/>
  <c r="C27" i="5"/>
  <c r="I27" i="5" s="1"/>
  <c r="C45" i="5"/>
  <c r="I45" i="5" s="1"/>
  <c r="C32" i="5"/>
  <c r="I32" i="5" s="1"/>
  <c r="C56" i="5"/>
  <c r="I56" i="5" s="1"/>
  <c r="C55" i="5"/>
  <c r="I55" i="5" s="1"/>
  <c r="C35" i="5"/>
  <c r="I35" i="5" s="1"/>
  <c r="C44" i="5"/>
  <c r="I44" i="5" s="1"/>
  <c r="C22" i="5"/>
  <c r="I22" i="5" s="1"/>
  <c r="C64" i="5"/>
  <c r="I64" i="5" s="1"/>
  <c r="C21" i="5"/>
  <c r="I21" i="5" s="1"/>
  <c r="C61" i="5"/>
  <c r="I61" i="5" s="1"/>
  <c r="C43" i="5"/>
  <c r="I43" i="5" s="1"/>
  <c r="C59" i="5"/>
  <c r="C33" i="5"/>
  <c r="I33" i="5" s="1"/>
  <c r="C20" i="5"/>
  <c r="I20" i="5" s="1"/>
  <c r="C26" i="5"/>
  <c r="I26" i="5" s="1"/>
  <c r="C42" i="5"/>
  <c r="I42" i="5" s="1"/>
  <c r="C17" i="5"/>
  <c r="I17" i="5" s="1"/>
  <c r="C14" i="5"/>
  <c r="I14" i="5" s="1"/>
  <c r="C69" i="5"/>
  <c r="I69" i="5" s="1"/>
  <c r="C29" i="5"/>
  <c r="I29" i="5" s="1"/>
  <c r="C41" i="5"/>
  <c r="I41" i="5" s="1"/>
  <c r="C19" i="5"/>
  <c r="C36" i="5"/>
  <c r="I36" i="5" s="1"/>
  <c r="C37" i="5"/>
  <c r="I37" i="5" s="1"/>
  <c r="C51" i="5"/>
  <c r="I51" i="5" s="1"/>
  <c r="C40" i="5"/>
  <c r="I40" i="5" s="1"/>
  <c r="C16" i="5"/>
  <c r="I16" i="5" s="1"/>
  <c r="C15" i="5"/>
  <c r="I15" i="5" s="1"/>
  <c r="C38" i="5"/>
  <c r="I38" i="5" s="1"/>
  <c r="C25" i="5"/>
  <c r="I25" i="5" s="1"/>
  <c r="C39" i="5"/>
  <c r="I39" i="5" s="1"/>
  <c r="C68" i="5"/>
  <c r="I68" i="5" s="1"/>
  <c r="C63" i="5"/>
  <c r="I63" i="5" s="1"/>
  <c r="B52" i="5"/>
  <c r="B14" i="5"/>
  <c r="B12" i="5"/>
  <c r="B27" i="5"/>
  <c r="B60" i="5"/>
  <c r="B26" i="5"/>
  <c r="B68" i="5"/>
  <c r="B25" i="5"/>
  <c r="B24" i="5"/>
  <c r="B23" i="5"/>
  <c r="B22" i="5"/>
  <c r="B21" i="5"/>
  <c r="B20" i="5"/>
  <c r="B66" i="5"/>
  <c r="B11" i="5"/>
  <c r="B58" i="5"/>
  <c r="B13" i="5"/>
  <c r="B57" i="5"/>
  <c r="B56" i="5"/>
  <c r="B55" i="5"/>
  <c r="B54" i="5"/>
  <c r="B70" i="5"/>
  <c r="B62" i="5"/>
  <c r="B51" i="5"/>
  <c r="B50" i="5"/>
  <c r="B49" i="5"/>
  <c r="B48" i="5"/>
  <c r="B65" i="5"/>
  <c r="B47" i="5"/>
  <c r="B46" i="5"/>
  <c r="B45" i="5"/>
  <c r="B44" i="5"/>
  <c r="B43" i="5"/>
  <c r="B64" i="5"/>
  <c r="B42" i="5"/>
  <c r="B67" i="5"/>
  <c r="B41" i="5"/>
  <c r="B40" i="5"/>
  <c r="B39" i="5"/>
  <c r="B38" i="5"/>
  <c r="B63" i="5"/>
  <c r="B37" i="5"/>
  <c r="B36" i="5"/>
  <c r="B35" i="5"/>
  <c r="B34" i="5"/>
  <c r="B18" i="5"/>
  <c r="B17" i="5"/>
  <c r="B16" i="5"/>
  <c r="B15" i="5"/>
  <c r="B53" i="5"/>
  <c r="B69" i="5"/>
  <c r="B33" i="5"/>
  <c r="B32" i="5"/>
  <c r="B61" i="5"/>
  <c r="B31" i="5"/>
  <c r="B30" i="5"/>
  <c r="B29" i="5"/>
  <c r="B28" i="5"/>
  <c r="E70" i="4"/>
  <c r="F70" i="4"/>
  <c r="F69" i="4"/>
  <c r="E69" i="4"/>
  <c r="I69" i="4" s="1"/>
  <c r="D64" i="8" s="1"/>
  <c r="F68" i="4"/>
  <c r="E68" i="4"/>
  <c r="I68" i="4" s="1"/>
  <c r="D63" i="8" s="1"/>
  <c r="F67" i="4"/>
  <c r="E67" i="4"/>
  <c r="I67" i="4" s="1"/>
  <c r="D62" i="8" s="1"/>
  <c r="F66" i="4"/>
  <c r="E66" i="4"/>
  <c r="I66" i="4" s="1"/>
  <c r="D61" i="8" s="1"/>
  <c r="E65" i="4"/>
  <c r="F65" i="4"/>
  <c r="E64" i="4"/>
  <c r="I64" i="4" s="1"/>
  <c r="D59" i="8" s="1"/>
  <c r="F64" i="4"/>
  <c r="F63" i="4"/>
  <c r="E63" i="4"/>
  <c r="I63" i="4" s="1"/>
  <c r="D58" i="8" s="1"/>
  <c r="F62" i="4"/>
  <c r="E62" i="4"/>
  <c r="I62" i="4" s="1"/>
  <c r="D57" i="8" s="1"/>
  <c r="E61" i="4"/>
  <c r="I61" i="4" s="1"/>
  <c r="D56" i="8" s="1"/>
  <c r="F61" i="4"/>
  <c r="E60" i="4"/>
  <c r="I60" i="4" s="1"/>
  <c r="D55" i="8" s="1"/>
  <c r="F60" i="4"/>
  <c r="E59" i="4"/>
  <c r="I59" i="4" s="1"/>
  <c r="D54" i="8" s="1"/>
  <c r="F59" i="4"/>
  <c r="E58" i="4"/>
  <c r="I58" i="4" s="1"/>
  <c r="D53" i="8" s="1"/>
  <c r="F58" i="4"/>
  <c r="F57" i="4"/>
  <c r="E57" i="4"/>
  <c r="I57" i="4" s="1"/>
  <c r="D52" i="8" s="1"/>
  <c r="E56" i="4"/>
  <c r="F56" i="4"/>
  <c r="E55" i="4"/>
  <c r="F55" i="4"/>
  <c r="E54" i="4"/>
  <c r="I54" i="4" s="1"/>
  <c r="D49" i="8" s="1"/>
  <c r="F54" i="4"/>
  <c r="E53" i="4"/>
  <c r="I53" i="4" s="1"/>
  <c r="D48" i="8" s="1"/>
  <c r="F53" i="4"/>
  <c r="F52" i="4"/>
  <c r="E52" i="4"/>
  <c r="I52" i="4" s="1"/>
  <c r="D47" i="8" s="1"/>
  <c r="E37" i="4"/>
  <c r="I37" i="4" s="1"/>
  <c r="D32" i="8" s="1"/>
  <c r="F37" i="4"/>
  <c r="F36" i="4"/>
  <c r="E36" i="4"/>
  <c r="E35" i="4"/>
  <c r="F35" i="4"/>
  <c r="F34" i="4"/>
  <c r="E34" i="4"/>
  <c r="I34" i="4" s="1"/>
  <c r="D29" i="8" s="1"/>
  <c r="F33" i="4"/>
  <c r="E33" i="4"/>
  <c r="I33" i="4" s="1"/>
  <c r="D28" i="8" s="1"/>
  <c r="F32" i="4"/>
  <c r="E32" i="4"/>
  <c r="I32" i="4" s="1"/>
  <c r="D27" i="8" s="1"/>
  <c r="F31" i="4"/>
  <c r="E31" i="4"/>
  <c r="I31" i="4" s="1"/>
  <c r="D26" i="8" s="1"/>
  <c r="F30" i="4"/>
  <c r="E30" i="4"/>
  <c r="I30" i="4" s="1"/>
  <c r="D25" i="8" s="1"/>
  <c r="E29" i="4"/>
  <c r="I29" i="4" s="1"/>
  <c r="D24" i="8" s="1"/>
  <c r="F29" i="4"/>
  <c r="E28" i="4"/>
  <c r="I28" i="4" s="1"/>
  <c r="D23" i="8" s="1"/>
  <c r="F28" i="4"/>
  <c r="E27" i="4"/>
  <c r="F27" i="4"/>
  <c r="F26" i="4"/>
  <c r="E26" i="4"/>
  <c r="I26" i="4" s="1"/>
  <c r="D21" i="8" s="1"/>
  <c r="F25" i="4"/>
  <c r="E25" i="4"/>
  <c r="I25" i="4" s="1"/>
  <c r="D20" i="8" s="1"/>
  <c r="F24" i="4"/>
  <c r="E24" i="4"/>
  <c r="I24" i="4" s="1"/>
  <c r="D19" i="8" s="1"/>
  <c r="E10" i="4"/>
  <c r="I10" i="4" s="1"/>
  <c r="D5" i="8" s="1"/>
  <c r="F10" i="4"/>
  <c r="D48" i="4"/>
  <c r="H48" i="4" s="1"/>
  <c r="D43" i="4"/>
  <c r="H43" i="4" s="1"/>
  <c r="D44" i="4"/>
  <c r="H44" i="4" s="1"/>
  <c r="D51" i="4"/>
  <c r="H51" i="4" s="1"/>
  <c r="D38" i="4"/>
  <c r="H38" i="4" s="1"/>
  <c r="D45" i="4"/>
  <c r="H45" i="4" s="1"/>
  <c r="D39" i="4"/>
  <c r="H39" i="4" s="1"/>
  <c r="D46" i="4"/>
  <c r="H46" i="4" s="1"/>
  <c r="D42" i="4"/>
  <c r="H42" i="4" s="1"/>
  <c r="D47" i="4"/>
  <c r="H47" i="4" s="1"/>
  <c r="D23" i="4"/>
  <c r="H23" i="4" s="1"/>
  <c r="D22" i="4"/>
  <c r="H22" i="4" s="1"/>
  <c r="D21" i="4"/>
  <c r="H21" i="4" s="1"/>
  <c r="D20" i="4"/>
  <c r="H20" i="4" s="1"/>
  <c r="D19" i="4"/>
  <c r="H19" i="4" s="1"/>
  <c r="D18" i="4"/>
  <c r="H18" i="4" s="1"/>
  <c r="D17" i="4"/>
  <c r="H17" i="4" s="1"/>
  <c r="D49" i="4"/>
  <c r="H49" i="4" s="1"/>
  <c r="D15" i="4"/>
  <c r="H15" i="4" s="1"/>
  <c r="D14" i="4"/>
  <c r="H14" i="4" s="1"/>
  <c r="D13" i="4"/>
  <c r="H13" i="4" s="1"/>
  <c r="D12" i="4"/>
  <c r="H12" i="4" s="1"/>
  <c r="D11" i="4"/>
  <c r="H11" i="4" s="1"/>
  <c r="D50" i="4"/>
  <c r="H50" i="4" s="1"/>
  <c r="D40" i="4"/>
  <c r="H40" i="4" s="1"/>
  <c r="D41" i="4"/>
  <c r="H41" i="4" s="1"/>
  <c r="D16" i="4"/>
  <c r="H16" i="4" s="1"/>
  <c r="C22" i="4"/>
  <c r="G22" i="4" s="1"/>
  <c r="C43" i="4"/>
  <c r="G43" i="4" s="1"/>
  <c r="C21" i="4"/>
  <c r="G21" i="4" s="1"/>
  <c r="C42" i="4"/>
  <c r="C20" i="4"/>
  <c r="C41" i="4"/>
  <c r="C19" i="4"/>
  <c r="C40" i="4"/>
  <c r="C18" i="4"/>
  <c r="C49" i="4"/>
  <c r="C17" i="4"/>
  <c r="C39" i="4"/>
  <c r="C16" i="4"/>
  <c r="C38" i="4"/>
  <c r="C15" i="4"/>
  <c r="C51" i="4"/>
  <c r="C14" i="4"/>
  <c r="C50" i="4"/>
  <c r="C13" i="4"/>
  <c r="C48" i="4"/>
  <c r="C12" i="4"/>
  <c r="C47" i="4"/>
  <c r="C11" i="4"/>
  <c r="C46" i="4"/>
  <c r="C45" i="4"/>
  <c r="C23" i="4"/>
  <c r="C44" i="4"/>
  <c r="B19" i="4"/>
  <c r="B39" i="4"/>
  <c r="B42" i="4"/>
  <c r="B18" i="4"/>
  <c r="B41" i="4"/>
  <c r="B38" i="4"/>
  <c r="B17" i="4"/>
  <c r="B16" i="4"/>
  <c r="B43" i="4"/>
  <c r="B44" i="4"/>
  <c r="B15" i="4"/>
  <c r="B23" i="4"/>
  <c r="B45" i="4"/>
  <c r="B14" i="4"/>
  <c r="B46" i="4"/>
  <c r="B22" i="4"/>
  <c r="B13" i="4"/>
  <c r="B47" i="4"/>
  <c r="B48" i="4"/>
  <c r="B12" i="4"/>
  <c r="B21" i="4"/>
  <c r="B49" i="4"/>
  <c r="B11" i="4"/>
  <c r="B50" i="4"/>
  <c r="B20" i="4"/>
  <c r="B51" i="4"/>
  <c r="B40" i="4"/>
  <c r="F10" i="3"/>
  <c r="E10" i="3"/>
  <c r="I10" i="3" s="1"/>
  <c r="C5" i="8" s="1"/>
  <c r="D16" i="3"/>
  <c r="H16" i="3" s="1"/>
  <c r="D13" i="3"/>
  <c r="H13" i="3" s="1"/>
  <c r="D12" i="3"/>
  <c r="H12" i="3" s="1"/>
  <c r="D24" i="3"/>
  <c r="H24" i="3" s="1"/>
  <c r="D59" i="3"/>
  <c r="H59" i="3" s="1"/>
  <c r="D70" i="3"/>
  <c r="H70" i="3" s="1"/>
  <c r="D69" i="3"/>
  <c r="H69" i="3" s="1"/>
  <c r="D68" i="3"/>
  <c r="H68" i="3" s="1"/>
  <c r="D67" i="3"/>
  <c r="H67" i="3" s="1"/>
  <c r="D66" i="3"/>
  <c r="H66" i="3" s="1"/>
  <c r="D65" i="3"/>
  <c r="H65" i="3" s="1"/>
  <c r="D64" i="3"/>
  <c r="H64" i="3" s="1"/>
  <c r="D63" i="3"/>
  <c r="H63" i="3" s="1"/>
  <c r="D62" i="3"/>
  <c r="H62" i="3" s="1"/>
  <c r="D61" i="3"/>
  <c r="H61" i="3" s="1"/>
  <c r="D60" i="3"/>
  <c r="H60" i="3" s="1"/>
  <c r="D58" i="3"/>
  <c r="H58" i="3" s="1"/>
  <c r="D30" i="3"/>
  <c r="H30" i="3" s="1"/>
  <c r="D29" i="3"/>
  <c r="H29" i="3" s="1"/>
  <c r="D28" i="3"/>
  <c r="H28" i="3" s="1"/>
  <c r="D26" i="3"/>
  <c r="H26" i="3" s="1"/>
  <c r="D25" i="3"/>
  <c r="H25" i="3" s="1"/>
  <c r="D23" i="3"/>
  <c r="H23" i="3" s="1"/>
  <c r="D21" i="3"/>
  <c r="H21" i="3" s="1"/>
  <c r="D20" i="3"/>
  <c r="H20" i="3" s="1"/>
  <c r="D17" i="3"/>
  <c r="H17" i="3" s="1"/>
  <c r="D57" i="3"/>
  <c r="H57" i="3" s="1"/>
  <c r="D56" i="3"/>
  <c r="H56" i="3" s="1"/>
  <c r="D55" i="3"/>
  <c r="H55" i="3" s="1"/>
  <c r="D54" i="3"/>
  <c r="H54" i="3" s="1"/>
  <c r="D53" i="3"/>
  <c r="H53" i="3" s="1"/>
  <c r="D52" i="3"/>
  <c r="H52" i="3" s="1"/>
  <c r="D51" i="3"/>
  <c r="H51" i="3" s="1"/>
  <c r="D50" i="3"/>
  <c r="H50" i="3" s="1"/>
  <c r="D49" i="3"/>
  <c r="H49" i="3" s="1"/>
  <c r="D48" i="3"/>
  <c r="H48" i="3" s="1"/>
  <c r="D47" i="3"/>
  <c r="H47" i="3" s="1"/>
  <c r="D46" i="3"/>
  <c r="H46" i="3" s="1"/>
  <c r="D45" i="3"/>
  <c r="H45" i="3" s="1"/>
  <c r="D44" i="3"/>
  <c r="H44" i="3" s="1"/>
  <c r="D43" i="3"/>
  <c r="H43" i="3" s="1"/>
  <c r="D42" i="3"/>
  <c r="H42" i="3" s="1"/>
  <c r="D41" i="3"/>
  <c r="H41" i="3" s="1"/>
  <c r="D40" i="3"/>
  <c r="H40" i="3" s="1"/>
  <c r="D39" i="3"/>
  <c r="H39" i="3" s="1"/>
  <c r="D38" i="3"/>
  <c r="H38" i="3" s="1"/>
  <c r="D37" i="3"/>
  <c r="H37" i="3" s="1"/>
  <c r="D36" i="3"/>
  <c r="H36" i="3" s="1"/>
  <c r="D35" i="3"/>
  <c r="H35" i="3" s="1"/>
  <c r="D34" i="3"/>
  <c r="H34" i="3" s="1"/>
  <c r="D33" i="3"/>
  <c r="H33" i="3" s="1"/>
  <c r="D32" i="3"/>
  <c r="H32" i="3" s="1"/>
  <c r="D31" i="3"/>
  <c r="H31" i="3" s="1"/>
  <c r="D27" i="3"/>
  <c r="H27" i="3" s="1"/>
  <c r="D22" i="3"/>
  <c r="H22" i="3" s="1"/>
  <c r="D15" i="3"/>
  <c r="H15" i="3" s="1"/>
  <c r="D14" i="3"/>
  <c r="H14" i="3" s="1"/>
  <c r="D11" i="3"/>
  <c r="H11" i="3" s="1"/>
  <c r="D19" i="3"/>
  <c r="H19" i="3" s="1"/>
  <c r="D18" i="3"/>
  <c r="H18" i="3" s="1"/>
  <c r="C21" i="3"/>
  <c r="G21" i="3" s="1"/>
  <c r="C16" i="3"/>
  <c r="G16" i="3" s="1"/>
  <c r="C58" i="3"/>
  <c r="G58" i="3" s="1"/>
  <c r="C40" i="3"/>
  <c r="G40" i="3" s="1"/>
  <c r="C36" i="3"/>
  <c r="G36" i="3" s="1"/>
  <c r="C53" i="3"/>
  <c r="G53" i="3" s="1"/>
  <c r="C35" i="3"/>
  <c r="G35" i="3" s="1"/>
  <c r="C66" i="3"/>
  <c r="G66" i="3" s="1"/>
  <c r="C34" i="3"/>
  <c r="G34" i="3" s="1"/>
  <c r="C45" i="3"/>
  <c r="G45" i="3" s="1"/>
  <c r="C33" i="3"/>
  <c r="G33" i="3" s="1"/>
  <c r="C32" i="3"/>
  <c r="G32" i="3" s="1"/>
  <c r="C52" i="3"/>
  <c r="G52" i="3" s="1"/>
  <c r="C31" i="3"/>
  <c r="G31" i="3" s="1"/>
  <c r="C17" i="3"/>
  <c r="G17" i="3" s="1"/>
  <c r="C18" i="3"/>
  <c r="G18" i="3" s="1"/>
  <c r="C39" i="3"/>
  <c r="G39" i="3" s="1"/>
  <c r="C24" i="3"/>
  <c r="G24" i="3" s="1"/>
  <c r="C68" i="3"/>
  <c r="G68" i="3" s="1"/>
  <c r="C27" i="3"/>
  <c r="G27" i="3" s="1"/>
  <c r="C25" i="3"/>
  <c r="G25" i="3" s="1"/>
  <c r="C51" i="3"/>
  <c r="G51" i="3" s="1"/>
  <c r="C41" i="3"/>
  <c r="G41" i="3" s="1"/>
  <c r="C44" i="3"/>
  <c r="G44" i="3" s="1"/>
  <c r="C50" i="3"/>
  <c r="G50" i="3" s="1"/>
  <c r="C20" i="3"/>
  <c r="G20" i="3" s="1"/>
  <c r="C64" i="3"/>
  <c r="G64" i="3" s="1"/>
  <c r="C23" i="3"/>
  <c r="G23" i="3" s="1"/>
  <c r="C49" i="3"/>
  <c r="G49" i="3" s="1"/>
  <c r="C37" i="3"/>
  <c r="G37" i="3" s="1"/>
  <c r="C19" i="3"/>
  <c r="G19" i="3" s="1"/>
  <c r="C67" i="3"/>
  <c r="G67" i="3" s="1"/>
  <c r="C15" i="3"/>
  <c r="G15" i="3" s="1"/>
  <c r="C14" i="3"/>
  <c r="G14" i="3" s="1"/>
  <c r="C13" i="3"/>
  <c r="G13" i="3" s="1"/>
  <c r="C12" i="3"/>
  <c r="G12" i="3" s="1"/>
  <c r="C11" i="3"/>
  <c r="G11" i="3" s="1"/>
  <c r="C26" i="3"/>
  <c r="G26" i="3" s="1"/>
  <c r="C48" i="3"/>
  <c r="G48" i="3" s="1"/>
  <c r="C61" i="3"/>
  <c r="G61" i="3" s="1"/>
  <c r="C28" i="3"/>
  <c r="G28" i="3" s="1"/>
  <c r="C29" i="3"/>
  <c r="G29" i="3" s="1"/>
  <c r="C62" i="3"/>
  <c r="G62" i="3" s="1"/>
  <c r="C63" i="3"/>
  <c r="G63" i="3" s="1"/>
  <c r="C70" i="3"/>
  <c r="G70" i="3" s="1"/>
  <c r="C57" i="3"/>
  <c r="G57" i="3" s="1"/>
  <c r="C43" i="3"/>
  <c r="G43" i="3" s="1"/>
  <c r="C38" i="3"/>
  <c r="G38" i="3" s="1"/>
  <c r="C56" i="3"/>
  <c r="G56" i="3" s="1"/>
  <c r="C47" i="3"/>
  <c r="G47" i="3" s="1"/>
  <c r="C65" i="3"/>
  <c r="G65" i="3" s="1"/>
  <c r="C55" i="3"/>
  <c r="G55" i="3" s="1"/>
  <c r="C42" i="3"/>
  <c r="G42" i="3" s="1"/>
  <c r="C69" i="3"/>
  <c r="G69" i="3" s="1"/>
  <c r="C54" i="3"/>
  <c r="G54" i="3" s="1"/>
  <c r="C46" i="3"/>
  <c r="G46" i="3" s="1"/>
  <c r="C60" i="3"/>
  <c r="G60" i="3" s="1"/>
  <c r="C22" i="3"/>
  <c r="G22" i="3" s="1"/>
  <c r="C59" i="3"/>
  <c r="G59" i="3" s="1"/>
  <c r="C30" i="3"/>
  <c r="G30" i="3" s="1"/>
  <c r="B32" i="3"/>
  <c r="B29" i="3"/>
  <c r="B28" i="3"/>
  <c r="B26" i="3"/>
  <c r="B30" i="3"/>
  <c r="B25" i="3"/>
  <c r="B24" i="3"/>
  <c r="B22" i="3"/>
  <c r="B15" i="3"/>
  <c r="B14" i="3"/>
  <c r="B18" i="3"/>
  <c r="B16" i="3"/>
  <c r="B47" i="3"/>
  <c r="B57" i="3"/>
  <c r="B70" i="3"/>
  <c r="B56" i="3"/>
  <c r="B59" i="3"/>
  <c r="B55" i="3"/>
  <c r="B54" i="3"/>
  <c r="B69" i="3"/>
  <c r="B53" i="3"/>
  <c r="B11" i="3"/>
  <c r="B52" i="3"/>
  <c r="B51" i="3"/>
  <c r="B68" i="3"/>
  <c r="B50" i="3"/>
  <c r="B49" i="3"/>
  <c r="B48" i="3"/>
  <c r="B67" i="3"/>
  <c r="B64" i="3"/>
  <c r="B17" i="3"/>
  <c r="B46" i="3"/>
  <c r="B45" i="3"/>
  <c r="B66" i="3"/>
  <c r="B44" i="3"/>
  <c r="B43" i="3"/>
  <c r="B42" i="3"/>
  <c r="B65" i="3"/>
  <c r="B41" i="3"/>
  <c r="B40" i="3"/>
  <c r="B39" i="3"/>
  <c r="B20" i="3"/>
  <c r="B38" i="3"/>
  <c r="B37" i="3"/>
  <c r="B63" i="3"/>
  <c r="B33" i="3"/>
  <c r="B62" i="3"/>
  <c r="B31" i="3"/>
  <c r="B27" i="3"/>
  <c r="B23" i="3"/>
  <c r="B61" i="3"/>
  <c r="B21" i="3"/>
  <c r="B19" i="3"/>
  <c r="B58" i="3"/>
  <c r="B13" i="3"/>
  <c r="B12" i="3"/>
  <c r="B60" i="3"/>
  <c r="B36" i="3"/>
  <c r="B35" i="3"/>
  <c r="B34" i="3"/>
  <c r="E70" i="2"/>
  <c r="F70" i="2"/>
  <c r="E69" i="2"/>
  <c r="F69" i="2"/>
  <c r="E68" i="2"/>
  <c r="F68" i="2"/>
  <c r="E67" i="2"/>
  <c r="F67" i="2"/>
  <c r="E66" i="2"/>
  <c r="F66" i="2"/>
  <c r="F65" i="2"/>
  <c r="E65" i="2"/>
  <c r="I65" i="2" s="1"/>
  <c r="B60" i="8" s="1"/>
  <c r="F10" i="2"/>
  <c r="E10" i="2"/>
  <c r="I10" i="2" s="1"/>
  <c r="B5" i="8" s="1"/>
  <c r="D63" i="2"/>
  <c r="H63" i="2" s="1"/>
  <c r="D60" i="2"/>
  <c r="H60" i="2" s="1"/>
  <c r="D59" i="2"/>
  <c r="H59" i="2" s="1"/>
  <c r="D62" i="2"/>
  <c r="H62" i="2" s="1"/>
  <c r="D56" i="2"/>
  <c r="H56" i="2" s="1"/>
  <c r="D55" i="2"/>
  <c r="H55" i="2" s="1"/>
  <c r="D54" i="2"/>
  <c r="H54" i="2" s="1"/>
  <c r="D53" i="2"/>
  <c r="H53" i="2" s="1"/>
  <c r="D52" i="2"/>
  <c r="H52" i="2" s="1"/>
  <c r="D51" i="2"/>
  <c r="H51" i="2" s="1"/>
  <c r="D50" i="2"/>
  <c r="H50" i="2" s="1"/>
  <c r="D49" i="2"/>
  <c r="H49" i="2" s="1"/>
  <c r="D48" i="2"/>
  <c r="H48" i="2" s="1"/>
  <c r="D47" i="2"/>
  <c r="H47" i="2" s="1"/>
  <c r="D46" i="2"/>
  <c r="H46" i="2" s="1"/>
  <c r="D45" i="2"/>
  <c r="H45" i="2" s="1"/>
  <c r="D44" i="2"/>
  <c r="H44" i="2" s="1"/>
  <c r="D64" i="2"/>
  <c r="H64" i="2" s="1"/>
  <c r="D43" i="2"/>
  <c r="H43" i="2" s="1"/>
  <c r="D42" i="2"/>
  <c r="H42" i="2" s="1"/>
  <c r="D41" i="2"/>
  <c r="H41" i="2" s="1"/>
  <c r="D40" i="2"/>
  <c r="H40" i="2" s="1"/>
  <c r="D39" i="2"/>
  <c r="H39" i="2" s="1"/>
  <c r="D38" i="2"/>
  <c r="H38" i="2" s="1"/>
  <c r="D37" i="2"/>
  <c r="H37" i="2" s="1"/>
  <c r="D25" i="2"/>
  <c r="H25" i="2" s="1"/>
  <c r="D24" i="2"/>
  <c r="H24" i="2" s="1"/>
  <c r="D23" i="2"/>
  <c r="H23" i="2" s="1"/>
  <c r="D57" i="2"/>
  <c r="H57" i="2" s="1"/>
  <c r="D21" i="2"/>
  <c r="H21" i="2" s="1"/>
  <c r="D20" i="2"/>
  <c r="H20" i="2" s="1"/>
  <c r="D19" i="2"/>
  <c r="H19" i="2" s="1"/>
  <c r="D18" i="2"/>
  <c r="H18" i="2" s="1"/>
  <c r="D17" i="2"/>
  <c r="H17" i="2" s="1"/>
  <c r="D16" i="2"/>
  <c r="H16" i="2" s="1"/>
  <c r="D15" i="2"/>
  <c r="H15" i="2" s="1"/>
  <c r="D14" i="2"/>
  <c r="H14" i="2" s="1"/>
  <c r="D13" i="2"/>
  <c r="H13" i="2" s="1"/>
  <c r="D12" i="2"/>
  <c r="H12" i="2" s="1"/>
  <c r="D11" i="2"/>
  <c r="H11" i="2" s="1"/>
  <c r="D36" i="2"/>
  <c r="H36" i="2" s="1"/>
  <c r="D35" i="2"/>
  <c r="H35" i="2" s="1"/>
  <c r="D34" i="2"/>
  <c r="H34" i="2" s="1"/>
  <c r="D33" i="2"/>
  <c r="H33" i="2" s="1"/>
  <c r="D32" i="2"/>
  <c r="H32" i="2" s="1"/>
  <c r="D31" i="2"/>
  <c r="H31" i="2" s="1"/>
  <c r="D30" i="2"/>
  <c r="H30" i="2" s="1"/>
  <c r="D29" i="2"/>
  <c r="H29" i="2" s="1"/>
  <c r="D28" i="2"/>
  <c r="H28" i="2" s="1"/>
  <c r="D27" i="2"/>
  <c r="H27" i="2" s="1"/>
  <c r="D26" i="2"/>
  <c r="H26" i="2" s="1"/>
  <c r="D61" i="2"/>
  <c r="H61" i="2" s="1"/>
  <c r="D58" i="2"/>
  <c r="H58" i="2" s="1"/>
  <c r="D22" i="2"/>
  <c r="H22" i="2" s="1"/>
  <c r="C25" i="2"/>
  <c r="G25" i="2" s="1"/>
  <c r="C50" i="2"/>
  <c r="C24" i="2"/>
  <c r="G24" i="2" s="1"/>
  <c r="C11" i="2"/>
  <c r="G11" i="2" s="1"/>
  <c r="C64" i="2"/>
  <c r="C23" i="2"/>
  <c r="G23" i="2" s="1"/>
  <c r="C49" i="2"/>
  <c r="C22" i="2"/>
  <c r="G22" i="2" s="1"/>
  <c r="C57" i="2"/>
  <c r="G57" i="2" s="1"/>
  <c r="C21" i="2"/>
  <c r="G21" i="2" s="1"/>
  <c r="C63" i="2"/>
  <c r="C20" i="2"/>
  <c r="G20" i="2" s="1"/>
  <c r="C47" i="2"/>
  <c r="C19" i="2"/>
  <c r="G19" i="2" s="1"/>
  <c r="C56" i="2"/>
  <c r="C18" i="2"/>
  <c r="G18" i="2" s="1"/>
  <c r="C46" i="2"/>
  <c r="C17" i="2"/>
  <c r="G17" i="2" s="1"/>
  <c r="C62" i="2"/>
  <c r="G62" i="2" s="1"/>
  <c r="C16" i="2"/>
  <c r="G16" i="2" s="1"/>
  <c r="C45" i="2"/>
  <c r="C15" i="2"/>
  <c r="G15" i="2" s="1"/>
  <c r="C55" i="2"/>
  <c r="G55" i="2" s="1"/>
  <c r="C14" i="2"/>
  <c r="G14" i="2" s="1"/>
  <c r="C44" i="2"/>
  <c r="C13" i="2"/>
  <c r="G13" i="2" s="1"/>
  <c r="C61" i="2"/>
  <c r="C12" i="2"/>
  <c r="G12" i="2" s="1"/>
  <c r="C54" i="2"/>
  <c r="C43" i="2"/>
  <c r="C36" i="2"/>
  <c r="G36" i="2" s="1"/>
  <c r="C48" i="2"/>
  <c r="C35" i="2"/>
  <c r="G35" i="2" s="1"/>
  <c r="C42" i="2"/>
  <c r="C34" i="2"/>
  <c r="G34" i="2" s="1"/>
  <c r="C53" i="2"/>
  <c r="C33" i="2"/>
  <c r="G33" i="2" s="1"/>
  <c r="C41" i="2"/>
  <c r="C32" i="2"/>
  <c r="G32" i="2" s="1"/>
  <c r="C60" i="2"/>
  <c r="C31" i="2"/>
  <c r="G31" i="2" s="1"/>
  <c r="C40" i="2"/>
  <c r="C30" i="2"/>
  <c r="G30" i="2" s="1"/>
  <c r="C52" i="2"/>
  <c r="C29" i="2"/>
  <c r="G29" i="2" s="1"/>
  <c r="C39" i="2"/>
  <c r="C28" i="2"/>
  <c r="G28" i="2" s="1"/>
  <c r="C59" i="2"/>
  <c r="C27" i="2"/>
  <c r="G27" i="2" s="1"/>
  <c r="C38" i="2"/>
  <c r="C26" i="2"/>
  <c r="G26" i="2" s="1"/>
  <c r="C51" i="2"/>
  <c r="C37" i="2"/>
  <c r="G37" i="2" s="1"/>
  <c r="C58" i="2"/>
  <c r="G58" i="2" s="1"/>
  <c r="B39" i="2"/>
  <c r="B16" i="2"/>
  <c r="B47" i="2"/>
  <c r="B64" i="2"/>
  <c r="B15" i="2"/>
  <c r="B38" i="2"/>
  <c r="B56" i="2"/>
  <c r="B14" i="2"/>
  <c r="B46" i="2"/>
  <c r="B37" i="2"/>
  <c r="B13" i="2"/>
  <c r="B52" i="2"/>
  <c r="B60" i="2"/>
  <c r="B12" i="2"/>
  <c r="B25" i="2"/>
  <c r="B24" i="2"/>
  <c r="B11" i="2"/>
  <c r="B45" i="2"/>
  <c r="B58" i="2"/>
  <c r="B36" i="2"/>
  <c r="B51" i="2"/>
  <c r="B55" i="2"/>
  <c r="B35" i="2"/>
  <c r="B63" i="2"/>
  <c r="B23" i="2"/>
  <c r="B34" i="2"/>
  <c r="B50" i="2"/>
  <c r="B43" i="2"/>
  <c r="B33" i="2"/>
  <c r="B22" i="2"/>
  <c r="B62" i="2"/>
  <c r="B32" i="2"/>
  <c r="B54" i="2"/>
  <c r="B21" i="2"/>
  <c r="B31" i="2"/>
  <c r="B42" i="2"/>
  <c r="B49" i="2"/>
  <c r="B30" i="2"/>
  <c r="B20" i="2"/>
  <c r="B57" i="2"/>
  <c r="B29" i="2"/>
  <c r="B41" i="2"/>
  <c r="B19" i="2"/>
  <c r="B28" i="2"/>
  <c r="B61" i="2"/>
  <c r="B48" i="2"/>
  <c r="B27" i="2"/>
  <c r="B18" i="2"/>
  <c r="B40" i="2"/>
  <c r="B26" i="2"/>
  <c r="B59" i="2"/>
  <c r="B17" i="2"/>
  <c r="B53" i="2"/>
  <c r="B44" i="2"/>
  <c r="M28" i="7"/>
  <c r="G23" i="8" s="1"/>
  <c r="I39" i="7" l="1"/>
  <c r="J39" i="7"/>
  <c r="G68" i="7"/>
  <c r="H68" i="7"/>
  <c r="G67" i="7"/>
  <c r="H67" i="7"/>
  <c r="H66" i="7"/>
  <c r="G66" i="7"/>
  <c r="M66" i="7" s="1"/>
  <c r="G61" i="8" s="1"/>
  <c r="H63" i="7"/>
  <c r="G63" i="7"/>
  <c r="M63" i="7" s="1"/>
  <c r="G58" i="8" s="1"/>
  <c r="H62" i="7"/>
  <c r="G62" i="7"/>
  <c r="M62" i="7" s="1"/>
  <c r="G57" i="8" s="1"/>
  <c r="G61" i="7"/>
  <c r="H61" i="7"/>
  <c r="G48" i="7"/>
  <c r="H48" i="7"/>
  <c r="H70" i="7"/>
  <c r="G70" i="7"/>
  <c r="M70" i="7" s="1"/>
  <c r="G65" i="8" s="1"/>
  <c r="G69" i="7"/>
  <c r="H69" i="7"/>
  <c r="G65" i="7"/>
  <c r="H65" i="7"/>
  <c r="G64" i="7"/>
  <c r="M64" i="7" s="1"/>
  <c r="G59" i="8" s="1"/>
  <c r="H64" i="7"/>
  <c r="G60" i="7"/>
  <c r="H60" i="7"/>
  <c r="G59" i="7"/>
  <c r="H59" i="7"/>
  <c r="H58" i="7"/>
  <c r="G58" i="7"/>
  <c r="M58" i="7" s="1"/>
  <c r="G53" i="8" s="1"/>
  <c r="G49" i="7"/>
  <c r="H49" i="7"/>
  <c r="G12" i="7"/>
  <c r="H12" i="7"/>
  <c r="G51" i="7"/>
  <c r="H51" i="7"/>
  <c r="G11" i="7"/>
  <c r="H11" i="7"/>
  <c r="G50" i="7"/>
  <c r="H50" i="7"/>
  <c r="G19" i="7"/>
  <c r="H19" i="7"/>
  <c r="G16" i="7"/>
  <c r="H16" i="7"/>
  <c r="G52" i="7"/>
  <c r="H52" i="7"/>
  <c r="G54" i="7"/>
  <c r="H54" i="7"/>
  <c r="G18" i="7"/>
  <c r="H18" i="7"/>
  <c r="G15" i="7"/>
  <c r="H15" i="7"/>
  <c r="G55" i="7"/>
  <c r="H55" i="7"/>
  <c r="G56" i="7"/>
  <c r="H56" i="7"/>
  <c r="G53" i="7"/>
  <c r="H53" i="7"/>
  <c r="G57" i="7"/>
  <c r="H57" i="7"/>
  <c r="G17" i="7"/>
  <c r="H17" i="7"/>
  <c r="G14" i="7"/>
  <c r="H14" i="7"/>
  <c r="G20" i="7"/>
  <c r="H20" i="7"/>
  <c r="G13" i="7"/>
  <c r="H13" i="7"/>
  <c r="K64" i="6"/>
  <c r="L64" i="6"/>
  <c r="G57" i="6"/>
  <c r="H57" i="6"/>
  <c r="G55" i="6"/>
  <c r="H55" i="6"/>
  <c r="G56" i="6"/>
  <c r="H56" i="6"/>
  <c r="G15" i="6"/>
  <c r="H15" i="6"/>
  <c r="G16" i="6"/>
  <c r="H16" i="6"/>
  <c r="G45" i="6"/>
  <c r="H45" i="6"/>
  <c r="G67" i="6"/>
  <c r="H67" i="6"/>
  <c r="G17" i="6"/>
  <c r="H17" i="6"/>
  <c r="G44" i="6"/>
  <c r="H44" i="6"/>
  <c r="G58" i="6"/>
  <c r="H58" i="6"/>
  <c r="G43" i="6"/>
  <c r="H43" i="6"/>
  <c r="G59" i="6"/>
  <c r="H59" i="6"/>
  <c r="G13" i="6"/>
  <c r="H13" i="6"/>
  <c r="G42" i="6"/>
  <c r="H42" i="6"/>
  <c r="G60" i="6"/>
  <c r="H60" i="6"/>
  <c r="G41" i="6"/>
  <c r="H41" i="6"/>
  <c r="G61" i="6"/>
  <c r="H61" i="6"/>
  <c r="G14" i="6"/>
  <c r="H14" i="6"/>
  <c r="G40" i="6"/>
  <c r="H40" i="6"/>
  <c r="G21" i="6"/>
  <c r="H21" i="6"/>
  <c r="G39" i="6"/>
  <c r="H39" i="6"/>
  <c r="G63" i="6"/>
  <c r="H63" i="6"/>
  <c r="G18" i="6"/>
  <c r="H18" i="6"/>
  <c r="G38" i="6"/>
  <c r="H38" i="6"/>
  <c r="G64" i="6"/>
  <c r="H64" i="6"/>
  <c r="G25" i="6"/>
  <c r="H25" i="6"/>
  <c r="G19" i="6"/>
  <c r="H19" i="6"/>
  <c r="G65" i="6"/>
  <c r="H65" i="6"/>
  <c r="G26" i="6"/>
  <c r="H26" i="6"/>
  <c r="G68" i="6"/>
  <c r="H68" i="6"/>
  <c r="G12" i="6"/>
  <c r="H12" i="6"/>
  <c r="G24" i="6"/>
  <c r="H24" i="6"/>
  <c r="G69" i="6"/>
  <c r="H69" i="6"/>
  <c r="G23" i="6"/>
  <c r="H23" i="6"/>
  <c r="G66" i="6"/>
  <c r="H66" i="6"/>
  <c r="G62" i="6"/>
  <c r="H62" i="6"/>
  <c r="G70" i="6"/>
  <c r="H70" i="6"/>
  <c r="G20" i="6"/>
  <c r="H20" i="6"/>
  <c r="G54" i="6"/>
  <c r="H54" i="6"/>
  <c r="G11" i="6"/>
  <c r="H11" i="6"/>
  <c r="G22" i="6"/>
  <c r="H22" i="6"/>
  <c r="H52" i="5"/>
  <c r="G52" i="5"/>
  <c r="M52" i="5" s="1"/>
  <c r="E47" i="8" s="1"/>
  <c r="G14" i="5"/>
  <c r="H14" i="5"/>
  <c r="H12" i="5"/>
  <c r="G12" i="5"/>
  <c r="M12" i="5" s="1"/>
  <c r="E7" i="8" s="1"/>
  <c r="G27" i="5"/>
  <c r="H27" i="5"/>
  <c r="G60" i="5"/>
  <c r="H60" i="5"/>
  <c r="G26" i="5"/>
  <c r="H26" i="5"/>
  <c r="G68" i="5"/>
  <c r="M68" i="5" s="1"/>
  <c r="E63" i="8" s="1"/>
  <c r="H68" i="5"/>
  <c r="G25" i="5"/>
  <c r="M25" i="5" s="1"/>
  <c r="E20" i="8" s="1"/>
  <c r="H25" i="5"/>
  <c r="G24" i="5"/>
  <c r="H24" i="5"/>
  <c r="G23" i="5"/>
  <c r="M23" i="5" s="1"/>
  <c r="E18" i="8" s="1"/>
  <c r="H23" i="5"/>
  <c r="G22" i="5"/>
  <c r="H22" i="5"/>
  <c r="G21" i="5"/>
  <c r="M21" i="5" s="1"/>
  <c r="E16" i="8" s="1"/>
  <c r="H21" i="5"/>
  <c r="G20" i="5"/>
  <c r="M20" i="5" s="1"/>
  <c r="E15" i="8" s="1"/>
  <c r="H20" i="5"/>
  <c r="G66" i="5"/>
  <c r="H66" i="5"/>
  <c r="G11" i="5"/>
  <c r="M11" i="5" s="1"/>
  <c r="E6" i="8" s="1"/>
  <c r="H11" i="5"/>
  <c r="G58" i="5"/>
  <c r="H58" i="5"/>
  <c r="G13" i="5"/>
  <c r="H13" i="5"/>
  <c r="G57" i="5"/>
  <c r="M57" i="5" s="1"/>
  <c r="E52" i="8" s="1"/>
  <c r="H57" i="5"/>
  <c r="H56" i="5"/>
  <c r="G56" i="5"/>
  <c r="M56" i="5" s="1"/>
  <c r="E51" i="8" s="1"/>
  <c r="G55" i="5"/>
  <c r="M55" i="5" s="1"/>
  <c r="E50" i="8" s="1"/>
  <c r="H55" i="5"/>
  <c r="G54" i="5"/>
  <c r="M54" i="5" s="1"/>
  <c r="E49" i="8" s="1"/>
  <c r="H54" i="5"/>
  <c r="G70" i="5"/>
  <c r="H70" i="5"/>
  <c r="G62" i="5"/>
  <c r="H62" i="5"/>
  <c r="G51" i="5"/>
  <c r="H51" i="5"/>
  <c r="G50" i="5"/>
  <c r="H50" i="5"/>
  <c r="G49" i="5"/>
  <c r="H49" i="5"/>
  <c r="G48" i="5"/>
  <c r="H48" i="5"/>
  <c r="G65" i="5"/>
  <c r="H65" i="5"/>
  <c r="G47" i="5"/>
  <c r="H47" i="5"/>
  <c r="G46" i="5"/>
  <c r="H46" i="5"/>
  <c r="G45" i="5"/>
  <c r="H45" i="5"/>
  <c r="G44" i="5"/>
  <c r="H44" i="5"/>
  <c r="G43" i="5"/>
  <c r="H43" i="5"/>
  <c r="G64" i="5"/>
  <c r="H64" i="5"/>
  <c r="G42" i="5"/>
  <c r="H42" i="5"/>
  <c r="G67" i="5"/>
  <c r="H67" i="5"/>
  <c r="G41" i="5"/>
  <c r="H41" i="5"/>
  <c r="G40" i="5"/>
  <c r="H40" i="5"/>
  <c r="G39" i="5"/>
  <c r="H39" i="5"/>
  <c r="G38" i="5"/>
  <c r="H38" i="5"/>
  <c r="G63" i="5"/>
  <c r="H63" i="5"/>
  <c r="G37" i="5"/>
  <c r="H37" i="5"/>
  <c r="G36" i="5"/>
  <c r="H36" i="5"/>
  <c r="G35" i="5"/>
  <c r="H35" i="5"/>
  <c r="G34" i="5"/>
  <c r="H34" i="5"/>
  <c r="G18" i="5"/>
  <c r="H18" i="5"/>
  <c r="G17" i="5"/>
  <c r="H17" i="5"/>
  <c r="G16" i="5"/>
  <c r="H16" i="5"/>
  <c r="G15" i="5"/>
  <c r="H15" i="5"/>
  <c r="H53" i="5"/>
  <c r="G53" i="5"/>
  <c r="M53" i="5" s="1"/>
  <c r="E48" i="8" s="1"/>
  <c r="G69" i="5"/>
  <c r="H69" i="5"/>
  <c r="G33" i="5"/>
  <c r="H33" i="5"/>
  <c r="G32" i="5"/>
  <c r="M32" i="5" s="1"/>
  <c r="E27" i="8" s="1"/>
  <c r="H32" i="5"/>
  <c r="G61" i="5"/>
  <c r="H61" i="5"/>
  <c r="G31" i="5"/>
  <c r="H31" i="5"/>
  <c r="G30" i="5"/>
  <c r="H30" i="5"/>
  <c r="G29" i="5"/>
  <c r="H29" i="5"/>
  <c r="G28" i="5"/>
  <c r="H28" i="5"/>
  <c r="E19" i="4"/>
  <c r="F19" i="4"/>
  <c r="E39" i="4"/>
  <c r="F39" i="4"/>
  <c r="E42" i="4"/>
  <c r="F42" i="4"/>
  <c r="E18" i="4"/>
  <c r="F18" i="4"/>
  <c r="E41" i="4"/>
  <c r="F41" i="4"/>
  <c r="E38" i="4"/>
  <c r="F38" i="4"/>
  <c r="E17" i="4"/>
  <c r="F17" i="4"/>
  <c r="E16" i="4"/>
  <c r="F16" i="4"/>
  <c r="E43" i="4"/>
  <c r="F43" i="4"/>
  <c r="E44" i="4"/>
  <c r="F44" i="4"/>
  <c r="E15" i="4"/>
  <c r="F15" i="4"/>
  <c r="E23" i="4"/>
  <c r="F23" i="4"/>
  <c r="E45" i="4"/>
  <c r="F45" i="4"/>
  <c r="E14" i="4"/>
  <c r="F14" i="4"/>
  <c r="E46" i="4"/>
  <c r="F46" i="4"/>
  <c r="E22" i="4"/>
  <c r="F22" i="4"/>
  <c r="E13" i="4"/>
  <c r="F13" i="4"/>
  <c r="E47" i="4"/>
  <c r="F47" i="4"/>
  <c r="E48" i="4"/>
  <c r="F48" i="4"/>
  <c r="E12" i="4"/>
  <c r="F12" i="4"/>
  <c r="E21" i="4"/>
  <c r="F21" i="4"/>
  <c r="E49" i="4"/>
  <c r="F49" i="4"/>
  <c r="E11" i="4"/>
  <c r="F11" i="4"/>
  <c r="E50" i="4"/>
  <c r="F50" i="4"/>
  <c r="E20" i="4"/>
  <c r="F20" i="4"/>
  <c r="E51" i="4"/>
  <c r="F51" i="4"/>
  <c r="E40" i="4"/>
  <c r="F40" i="4"/>
  <c r="F32" i="3"/>
  <c r="E32" i="3"/>
  <c r="I32" i="3" s="1"/>
  <c r="C27" i="8" s="1"/>
  <c r="F29" i="3"/>
  <c r="E29" i="3"/>
  <c r="I29" i="3" s="1"/>
  <c r="C24" i="8" s="1"/>
  <c r="F28" i="3"/>
  <c r="E28" i="3"/>
  <c r="I28" i="3" s="1"/>
  <c r="C23" i="8" s="1"/>
  <c r="F26" i="3"/>
  <c r="E26" i="3"/>
  <c r="I26" i="3" s="1"/>
  <c r="C21" i="8" s="1"/>
  <c r="E30" i="3"/>
  <c r="F30" i="3"/>
  <c r="E25" i="3"/>
  <c r="I25" i="3" s="1"/>
  <c r="C20" i="8" s="1"/>
  <c r="F25" i="3"/>
  <c r="E24" i="3"/>
  <c r="F24" i="3"/>
  <c r="E22" i="3"/>
  <c r="I22" i="3" s="1"/>
  <c r="C17" i="8" s="1"/>
  <c r="F22" i="3"/>
  <c r="E15" i="3"/>
  <c r="F15" i="3"/>
  <c r="E14" i="3"/>
  <c r="F14" i="3"/>
  <c r="E18" i="3"/>
  <c r="F18" i="3"/>
  <c r="F16" i="3"/>
  <c r="E16" i="3"/>
  <c r="I16" i="3" s="1"/>
  <c r="C11" i="8" s="1"/>
  <c r="E47" i="3"/>
  <c r="F47" i="3"/>
  <c r="E57" i="3"/>
  <c r="F57" i="3"/>
  <c r="E70" i="3"/>
  <c r="F70" i="3"/>
  <c r="E56" i="3"/>
  <c r="I56" i="3" s="1"/>
  <c r="C51" i="8" s="1"/>
  <c r="F56" i="3"/>
  <c r="E59" i="3"/>
  <c r="F59" i="3"/>
  <c r="E55" i="3"/>
  <c r="F55" i="3"/>
  <c r="E54" i="3"/>
  <c r="F54" i="3"/>
  <c r="E69" i="3"/>
  <c r="F69" i="3"/>
  <c r="E53" i="3"/>
  <c r="F53" i="3"/>
  <c r="E11" i="3"/>
  <c r="F11" i="3"/>
  <c r="E52" i="3"/>
  <c r="F52" i="3"/>
  <c r="E51" i="3"/>
  <c r="F51" i="3"/>
  <c r="E68" i="3"/>
  <c r="F68" i="3"/>
  <c r="E50" i="3"/>
  <c r="F50" i="3"/>
  <c r="E49" i="3"/>
  <c r="F49" i="3"/>
  <c r="E48" i="3"/>
  <c r="F48" i="3"/>
  <c r="E67" i="3"/>
  <c r="F67" i="3"/>
  <c r="E64" i="3"/>
  <c r="F64" i="3"/>
  <c r="E17" i="3"/>
  <c r="F17" i="3"/>
  <c r="E46" i="3"/>
  <c r="F46" i="3"/>
  <c r="E45" i="3"/>
  <c r="F45" i="3"/>
  <c r="E66" i="3"/>
  <c r="F66" i="3"/>
  <c r="E44" i="3"/>
  <c r="F44" i="3"/>
  <c r="E43" i="3"/>
  <c r="F43" i="3"/>
  <c r="E42" i="3"/>
  <c r="F42" i="3"/>
  <c r="E65" i="3"/>
  <c r="F65" i="3"/>
  <c r="E41" i="3"/>
  <c r="F41" i="3"/>
  <c r="E40" i="3"/>
  <c r="F40" i="3"/>
  <c r="E39" i="3"/>
  <c r="F39" i="3"/>
  <c r="F20" i="3"/>
  <c r="E20" i="3"/>
  <c r="I20" i="3" s="1"/>
  <c r="C15" i="8" s="1"/>
  <c r="E38" i="3"/>
  <c r="F38" i="3"/>
  <c r="E37" i="3"/>
  <c r="F37" i="3"/>
  <c r="E63" i="3"/>
  <c r="F63" i="3"/>
  <c r="F33" i="3"/>
  <c r="E33" i="3"/>
  <c r="I33" i="3" s="1"/>
  <c r="C28" i="8" s="1"/>
  <c r="E62" i="3"/>
  <c r="F62" i="3"/>
  <c r="F31" i="3"/>
  <c r="E31" i="3"/>
  <c r="I31" i="3" s="1"/>
  <c r="C26" i="8" s="1"/>
  <c r="F27" i="3"/>
  <c r="E27" i="3"/>
  <c r="I27" i="3" s="1"/>
  <c r="C22" i="8" s="1"/>
  <c r="E23" i="3"/>
  <c r="F23" i="3"/>
  <c r="E61" i="3"/>
  <c r="F61" i="3"/>
  <c r="F21" i="3"/>
  <c r="E21" i="3"/>
  <c r="I21" i="3" s="1"/>
  <c r="C16" i="8" s="1"/>
  <c r="F19" i="3"/>
  <c r="E19" i="3"/>
  <c r="I19" i="3" s="1"/>
  <c r="C14" i="8" s="1"/>
  <c r="E58" i="3"/>
  <c r="I58" i="3" s="1"/>
  <c r="C53" i="8" s="1"/>
  <c r="F58" i="3"/>
  <c r="F13" i="3"/>
  <c r="E13" i="3"/>
  <c r="I13" i="3" s="1"/>
  <c r="C8" i="8" s="1"/>
  <c r="F12" i="3"/>
  <c r="E12" i="3"/>
  <c r="I12" i="3" s="1"/>
  <c r="C7" i="8" s="1"/>
  <c r="E60" i="3"/>
  <c r="I60" i="3" s="1"/>
  <c r="C55" i="8" s="1"/>
  <c r="F60" i="3"/>
  <c r="F36" i="3"/>
  <c r="E36" i="3"/>
  <c r="I36" i="3" s="1"/>
  <c r="C31" i="8" s="1"/>
  <c r="E35" i="3"/>
  <c r="F35" i="3"/>
  <c r="E34" i="3"/>
  <c r="F34" i="3"/>
  <c r="E39" i="2"/>
  <c r="F39" i="2"/>
  <c r="E16" i="2"/>
  <c r="I16" i="2" s="1"/>
  <c r="B11" i="8" s="1"/>
  <c r="F16" i="2"/>
  <c r="E47" i="2"/>
  <c r="I47" i="2" s="1"/>
  <c r="B42" i="8" s="1"/>
  <c r="F47" i="2"/>
  <c r="F64" i="2"/>
  <c r="E64" i="2"/>
  <c r="I64" i="2" s="1"/>
  <c r="B59" i="8" s="1"/>
  <c r="E15" i="2"/>
  <c r="F15" i="2"/>
  <c r="E38" i="2"/>
  <c r="F38" i="2"/>
  <c r="E56" i="2"/>
  <c r="F56" i="2"/>
  <c r="E14" i="2"/>
  <c r="F14" i="2"/>
  <c r="E46" i="2"/>
  <c r="F46" i="2"/>
  <c r="E37" i="2"/>
  <c r="F37" i="2"/>
  <c r="E13" i="2"/>
  <c r="F13" i="2"/>
  <c r="E52" i="2"/>
  <c r="F52" i="2"/>
  <c r="E60" i="2"/>
  <c r="F60" i="2"/>
  <c r="E12" i="2"/>
  <c r="F12" i="2"/>
  <c r="E25" i="2"/>
  <c r="F25" i="2"/>
  <c r="E24" i="2"/>
  <c r="F24" i="2"/>
  <c r="E11" i="2"/>
  <c r="F11" i="2"/>
  <c r="E45" i="2"/>
  <c r="F45" i="2"/>
  <c r="E58" i="2"/>
  <c r="F58" i="2"/>
  <c r="E36" i="2"/>
  <c r="F36" i="2"/>
  <c r="E51" i="2"/>
  <c r="F51" i="2"/>
  <c r="E55" i="2"/>
  <c r="F55" i="2"/>
  <c r="E35" i="2"/>
  <c r="F35" i="2"/>
  <c r="E63" i="2"/>
  <c r="F63" i="2"/>
  <c r="E23" i="2"/>
  <c r="F23" i="2"/>
  <c r="E34" i="2"/>
  <c r="F34" i="2"/>
  <c r="E50" i="2"/>
  <c r="F50" i="2"/>
  <c r="E43" i="2"/>
  <c r="F43" i="2"/>
  <c r="E33" i="2"/>
  <c r="F33" i="2"/>
  <c r="E22" i="2"/>
  <c r="F22" i="2"/>
  <c r="E62" i="2"/>
  <c r="F62" i="2"/>
  <c r="E32" i="2"/>
  <c r="F32" i="2"/>
  <c r="E54" i="2"/>
  <c r="F54" i="2"/>
  <c r="E21" i="2"/>
  <c r="F21" i="2"/>
  <c r="E31" i="2"/>
  <c r="F31" i="2"/>
  <c r="E42" i="2"/>
  <c r="F42" i="2"/>
  <c r="E49" i="2"/>
  <c r="F49" i="2"/>
  <c r="E30" i="2"/>
  <c r="F30" i="2"/>
  <c r="E20" i="2"/>
  <c r="F20" i="2"/>
  <c r="E57" i="2"/>
  <c r="F57" i="2"/>
  <c r="E29" i="2"/>
  <c r="F29" i="2"/>
  <c r="E41" i="2"/>
  <c r="F41" i="2"/>
  <c r="E19" i="2"/>
  <c r="F19" i="2"/>
  <c r="E28" i="2"/>
  <c r="F28" i="2"/>
  <c r="E61" i="2"/>
  <c r="F61" i="2"/>
  <c r="E48" i="2"/>
  <c r="F48" i="2"/>
  <c r="E27" i="2"/>
  <c r="F27" i="2"/>
  <c r="E18" i="2"/>
  <c r="F18" i="2"/>
  <c r="E40" i="2"/>
  <c r="F40" i="2"/>
  <c r="E26" i="2"/>
  <c r="F26" i="2"/>
  <c r="E59" i="2"/>
  <c r="F59" i="2"/>
  <c r="E17" i="2"/>
  <c r="F17" i="2"/>
  <c r="E53" i="2"/>
  <c r="F53" i="2"/>
  <c r="E44" i="2"/>
  <c r="F44" i="2"/>
  <c r="M46" i="7"/>
  <c r="G41" i="8" s="1"/>
  <c r="M45" i="7"/>
  <c r="G40" i="8" s="1"/>
  <c r="M44" i="7"/>
  <c r="G39" i="8" s="1"/>
  <c r="M43" i="7"/>
  <c r="G38" i="8" s="1"/>
  <c r="M42" i="7"/>
  <c r="G37" i="8" s="1"/>
  <c r="M41" i="7"/>
  <c r="G36" i="8" s="1"/>
  <c r="M38" i="7"/>
  <c r="G33" i="8" s="1"/>
  <c r="M37" i="7"/>
  <c r="G32" i="8" s="1"/>
  <c r="M35" i="7"/>
  <c r="G30" i="8" s="1"/>
  <c r="M34" i="7"/>
  <c r="G29" i="8" s="1"/>
  <c r="M29" i="7"/>
  <c r="G24" i="8" s="1"/>
  <c r="M27" i="7"/>
  <c r="G22" i="8" s="1"/>
  <c r="M22" i="7"/>
  <c r="G17" i="8" s="1"/>
  <c r="M21" i="7"/>
  <c r="G16" i="8" s="1"/>
  <c r="M10" i="7"/>
  <c r="G5" i="8" s="1"/>
  <c r="M49" i="6"/>
  <c r="F44" i="8" s="1"/>
  <c r="M35" i="6"/>
  <c r="F30" i="8" s="1"/>
  <c r="K64" i="7"/>
  <c r="I70" i="4"/>
  <c r="D65" i="8" s="1"/>
  <c r="I65" i="4"/>
  <c r="D60" i="8" s="1"/>
  <c r="I56" i="4"/>
  <c r="D51" i="8" s="1"/>
  <c r="K11" i="7"/>
  <c r="K16" i="7"/>
  <c r="K69" i="7"/>
  <c r="K18" i="7"/>
  <c r="K12" i="7"/>
  <c r="J63" i="7"/>
  <c r="J62" i="7"/>
  <c r="J55" i="7"/>
  <c r="J64" i="7"/>
  <c r="J70" i="7"/>
  <c r="J65" i="7"/>
  <c r="J54" i="7"/>
  <c r="J19" i="7"/>
  <c r="J15" i="7"/>
  <c r="J68" i="7"/>
  <c r="J53" i="7"/>
  <c r="J66" i="7"/>
  <c r="J13" i="7"/>
  <c r="J67" i="7"/>
  <c r="J52" i="7"/>
  <c r="J61" i="7"/>
  <c r="J49" i="7"/>
  <c r="J57" i="7"/>
  <c r="J51" i="7"/>
  <c r="J17" i="7"/>
  <c r="J59" i="7"/>
  <c r="J14" i="7"/>
  <c r="J50" i="7"/>
  <c r="J20" i="7"/>
  <c r="J56" i="7"/>
  <c r="J60" i="7"/>
  <c r="J58" i="7"/>
  <c r="J48" i="7"/>
  <c r="M29" i="6"/>
  <c r="F24" i="8" s="1"/>
  <c r="I27" i="4"/>
  <c r="D22" i="8" s="1"/>
  <c r="K49" i="5"/>
  <c r="K38" i="5"/>
  <c r="K50" i="5"/>
  <c r="K39" i="5"/>
  <c r="K11" i="5"/>
  <c r="K37" i="5"/>
  <c r="K40" i="5"/>
  <c r="K51" i="5"/>
  <c r="K36" i="5"/>
  <c r="K63" i="5"/>
  <c r="K62" i="5"/>
  <c r="K61" i="5"/>
  <c r="K41" i="5"/>
  <c r="K42" i="5"/>
  <c r="K43" i="5"/>
  <c r="K60" i="5"/>
  <c r="K44" i="5"/>
  <c r="K45" i="5"/>
  <c r="K53" i="5"/>
  <c r="K64" i="5"/>
  <c r="K46" i="5"/>
  <c r="K13" i="5"/>
  <c r="K47" i="5"/>
  <c r="K70" i="5"/>
  <c r="K59" i="5"/>
  <c r="K48" i="5"/>
  <c r="G42" i="4"/>
  <c r="G20" i="4"/>
  <c r="G41" i="4"/>
  <c r="G19" i="4"/>
  <c r="G40" i="4"/>
  <c r="G18" i="4"/>
  <c r="G49" i="4"/>
  <c r="G17" i="4"/>
  <c r="G39" i="4"/>
  <c r="G16" i="4"/>
  <c r="G38" i="4"/>
  <c r="G15" i="4"/>
  <c r="G51" i="4"/>
  <c r="G14" i="4"/>
  <c r="G50" i="4"/>
  <c r="G13" i="4"/>
  <c r="G48" i="4"/>
  <c r="G12" i="4"/>
  <c r="G47" i="4"/>
  <c r="G11" i="4"/>
  <c r="G46" i="4"/>
  <c r="G45" i="4"/>
  <c r="G23" i="4"/>
  <c r="G44" i="4"/>
  <c r="I55" i="4"/>
  <c r="D50" i="8" s="1"/>
  <c r="I70" i="2"/>
  <c r="B65" i="8" s="1"/>
  <c r="I69" i="2"/>
  <c r="B64" i="8" s="1"/>
  <c r="I68" i="2"/>
  <c r="B63" i="8" s="1"/>
  <c r="I67" i="2"/>
  <c r="B62" i="8" s="1"/>
  <c r="I66" i="2"/>
  <c r="B61" i="8" s="1"/>
  <c r="M50" i="6"/>
  <c r="F45" i="8" s="1"/>
  <c r="M34" i="6"/>
  <c r="F29" i="8" s="1"/>
  <c r="M32" i="6"/>
  <c r="F27" i="8" s="1"/>
  <c r="I35" i="4"/>
  <c r="D30" i="8" s="1"/>
  <c r="G50" i="2"/>
  <c r="G64" i="2"/>
  <c r="G49" i="2"/>
  <c r="G63" i="2"/>
  <c r="G47" i="2"/>
  <c r="G56" i="2"/>
  <c r="G46" i="2"/>
  <c r="G45" i="2"/>
  <c r="G44" i="2"/>
  <c r="M47" i="6"/>
  <c r="F42" i="8" s="1"/>
  <c r="G61" i="2"/>
  <c r="G54" i="2"/>
  <c r="G43" i="2"/>
  <c r="G48" i="2"/>
  <c r="G42" i="2"/>
  <c r="G53" i="2"/>
  <c r="G41" i="2"/>
  <c r="G60" i="2"/>
  <c r="G40" i="2"/>
  <c r="G52" i="2"/>
  <c r="G39" i="2"/>
  <c r="G59" i="2"/>
  <c r="G38" i="2"/>
  <c r="G51" i="2"/>
  <c r="M48" i="6"/>
  <c r="F43" i="8" s="1"/>
  <c r="I36" i="4"/>
  <c r="D31" i="8" s="1"/>
  <c r="I59" i="5"/>
  <c r="H59" i="5"/>
  <c r="M59" i="5" s="1"/>
  <c r="E54" i="8" s="1"/>
  <c r="I19" i="5"/>
  <c r="H19" i="5"/>
  <c r="M19" i="5" s="1"/>
  <c r="E14" i="8" s="1"/>
  <c r="M12" i="7" l="1"/>
  <c r="G7" i="8" s="1"/>
  <c r="M51" i="7"/>
  <c r="G46" i="8" s="1"/>
  <c r="M11" i="7"/>
  <c r="G6" i="8" s="1"/>
  <c r="M50" i="7"/>
  <c r="G45" i="8" s="1"/>
  <c r="M19" i="7"/>
  <c r="G14" i="8" s="1"/>
  <c r="M16" i="7"/>
  <c r="G11" i="8" s="1"/>
  <c r="M52" i="7"/>
  <c r="G47" i="8" s="1"/>
  <c r="M54" i="7"/>
  <c r="G49" i="8" s="1"/>
  <c r="M18" i="7"/>
  <c r="G13" i="8" s="1"/>
  <c r="M15" i="7"/>
  <c r="G10" i="8" s="1"/>
  <c r="M55" i="7"/>
  <c r="G50" i="8" s="1"/>
  <c r="M56" i="7"/>
  <c r="G51" i="8" s="1"/>
  <c r="M53" i="7"/>
  <c r="G48" i="8" s="1"/>
  <c r="M57" i="7"/>
  <c r="G52" i="8" s="1"/>
  <c r="M17" i="7"/>
  <c r="G12" i="8" s="1"/>
  <c r="M14" i="7"/>
  <c r="G9" i="8" s="1"/>
  <c r="M20" i="7"/>
  <c r="G15" i="8" s="1"/>
  <c r="M13" i="7"/>
  <c r="G8" i="8" s="1"/>
  <c r="M57" i="6"/>
  <c r="F52" i="8" s="1"/>
  <c r="M55" i="6"/>
  <c r="F50" i="8" s="1"/>
  <c r="M56" i="6"/>
  <c r="F51" i="8" s="1"/>
  <c r="M15" i="6"/>
  <c r="F10" i="8" s="1"/>
  <c r="M16" i="6"/>
  <c r="F11" i="8" s="1"/>
  <c r="M45" i="6"/>
  <c r="F40" i="8" s="1"/>
  <c r="M67" i="6"/>
  <c r="F62" i="8" s="1"/>
  <c r="M17" i="6"/>
  <c r="F12" i="8" s="1"/>
  <c r="M44" i="6"/>
  <c r="F39" i="8" s="1"/>
  <c r="M58" i="6"/>
  <c r="F53" i="8" s="1"/>
  <c r="M43" i="6"/>
  <c r="F38" i="8" s="1"/>
  <c r="M59" i="6"/>
  <c r="F54" i="8" s="1"/>
  <c r="M13" i="6"/>
  <c r="F8" i="8" s="1"/>
  <c r="M42" i="6"/>
  <c r="F37" i="8" s="1"/>
  <c r="M60" i="6"/>
  <c r="F55" i="8" s="1"/>
  <c r="M41" i="6"/>
  <c r="F36" i="8" s="1"/>
  <c r="M61" i="6"/>
  <c r="F56" i="8" s="1"/>
  <c r="M14" i="6"/>
  <c r="F9" i="8" s="1"/>
  <c r="M40" i="6"/>
  <c r="F35" i="8" s="1"/>
  <c r="M21" i="6"/>
  <c r="F16" i="8" s="1"/>
  <c r="M39" i="6"/>
  <c r="F34" i="8" s="1"/>
  <c r="M63" i="6"/>
  <c r="F58" i="8" s="1"/>
  <c r="M18" i="6"/>
  <c r="F13" i="8" s="1"/>
  <c r="M38" i="6"/>
  <c r="F33" i="8" s="1"/>
  <c r="M64" i="6"/>
  <c r="F59" i="8" s="1"/>
  <c r="M25" i="6"/>
  <c r="F20" i="8" s="1"/>
  <c r="M19" i="6"/>
  <c r="F14" i="8" s="1"/>
  <c r="M65" i="6"/>
  <c r="F60" i="8" s="1"/>
  <c r="M26" i="6"/>
  <c r="F21" i="8" s="1"/>
  <c r="M68" i="6"/>
  <c r="F63" i="8" s="1"/>
  <c r="M12" i="6"/>
  <c r="F7" i="8" s="1"/>
  <c r="M24" i="6"/>
  <c r="F19" i="8" s="1"/>
  <c r="M69" i="6"/>
  <c r="F64" i="8" s="1"/>
  <c r="M23" i="6"/>
  <c r="F18" i="8" s="1"/>
  <c r="M66" i="6"/>
  <c r="F61" i="8" s="1"/>
  <c r="M62" i="6"/>
  <c r="F57" i="8" s="1"/>
  <c r="M70" i="6"/>
  <c r="F65" i="8" s="1"/>
  <c r="M20" i="6"/>
  <c r="F15" i="8" s="1"/>
  <c r="M54" i="6"/>
  <c r="F49" i="8" s="1"/>
  <c r="M11" i="6"/>
  <c r="F6" i="8" s="1"/>
  <c r="M22" i="6"/>
  <c r="F17" i="8" s="1"/>
  <c r="M27" i="5"/>
  <c r="E22" i="8" s="1"/>
  <c r="M26" i="5"/>
  <c r="E21" i="8" s="1"/>
  <c r="M70" i="5"/>
  <c r="E65" i="8" s="1"/>
  <c r="M62" i="5"/>
  <c r="E57" i="8" s="1"/>
  <c r="M51" i="5"/>
  <c r="E46" i="8" s="1"/>
  <c r="M50" i="5"/>
  <c r="E45" i="8" s="1"/>
  <c r="M49" i="5"/>
  <c r="E44" i="8" s="1"/>
  <c r="M48" i="5"/>
  <c r="E43" i="8" s="1"/>
  <c r="M65" i="5"/>
  <c r="E60" i="8" s="1"/>
  <c r="M47" i="5"/>
  <c r="E42" i="8" s="1"/>
  <c r="M46" i="5"/>
  <c r="E41" i="8" s="1"/>
  <c r="M45" i="5"/>
  <c r="E40" i="8" s="1"/>
  <c r="M44" i="5"/>
  <c r="E39" i="8" s="1"/>
  <c r="M43" i="5"/>
  <c r="E38" i="8" s="1"/>
  <c r="M64" i="5"/>
  <c r="E59" i="8" s="1"/>
  <c r="M42" i="5"/>
  <c r="E37" i="8" s="1"/>
  <c r="M67" i="5"/>
  <c r="E62" i="8" s="1"/>
  <c r="M41" i="5"/>
  <c r="E36" i="8" s="1"/>
  <c r="M40" i="5"/>
  <c r="E35" i="8" s="1"/>
  <c r="M39" i="5"/>
  <c r="E34" i="8" s="1"/>
  <c r="M38" i="5"/>
  <c r="E33" i="8" s="1"/>
  <c r="M63" i="5"/>
  <c r="E58" i="8" s="1"/>
  <c r="M37" i="5"/>
  <c r="E32" i="8" s="1"/>
  <c r="M36" i="5"/>
  <c r="E31" i="8" s="1"/>
  <c r="M35" i="5"/>
  <c r="E30" i="8" s="1"/>
  <c r="M34" i="5"/>
  <c r="E29" i="8" s="1"/>
  <c r="M18" i="5"/>
  <c r="E13" i="8" s="1"/>
  <c r="M17" i="5"/>
  <c r="E12" i="8" s="1"/>
  <c r="M16" i="5"/>
  <c r="E11" i="8" s="1"/>
  <c r="M15" i="5"/>
  <c r="E10" i="8" s="1"/>
  <c r="M69" i="5"/>
  <c r="E64" i="8" s="1"/>
  <c r="M33" i="5"/>
  <c r="E28" i="8" s="1"/>
  <c r="I15" i="3"/>
  <c r="C10" i="8" s="1"/>
  <c r="I37" i="3"/>
  <c r="C32" i="8" s="1"/>
  <c r="I63" i="3"/>
  <c r="C58" i="8" s="1"/>
  <c r="I23" i="3"/>
  <c r="C18" i="8" s="1"/>
  <c r="I35" i="3"/>
  <c r="C30" i="8" s="1"/>
  <c r="I34" i="3"/>
  <c r="C29" i="8" s="1"/>
  <c r="M61" i="5"/>
  <c r="E56" i="8" s="1"/>
  <c r="M31" i="5"/>
  <c r="E26" i="8" s="1"/>
  <c r="M30" i="5"/>
  <c r="E25" i="8" s="1"/>
  <c r="M29" i="5"/>
  <c r="E24" i="8" s="1"/>
  <c r="M28" i="5"/>
  <c r="E23" i="8" s="1"/>
  <c r="I19" i="4"/>
  <c r="D14" i="8" s="1"/>
  <c r="I39" i="4"/>
  <c r="D34" i="8" s="1"/>
  <c r="I42" i="4"/>
  <c r="D37" i="8" s="1"/>
  <c r="I18" i="4"/>
  <c r="D13" i="8" s="1"/>
  <c r="I41" i="4"/>
  <c r="D36" i="8" s="1"/>
  <c r="I38" i="4"/>
  <c r="D33" i="8" s="1"/>
  <c r="I17" i="4"/>
  <c r="D12" i="8" s="1"/>
  <c r="I16" i="4"/>
  <c r="D11" i="8" s="1"/>
  <c r="I43" i="4"/>
  <c r="D38" i="8" s="1"/>
  <c r="I44" i="4"/>
  <c r="D39" i="8" s="1"/>
  <c r="I15" i="4"/>
  <c r="D10" i="8" s="1"/>
  <c r="I23" i="4"/>
  <c r="D18" i="8" s="1"/>
  <c r="I45" i="4"/>
  <c r="D40" i="8" s="1"/>
  <c r="I14" i="4"/>
  <c r="D9" i="8" s="1"/>
  <c r="I46" i="4"/>
  <c r="D41" i="8" s="1"/>
  <c r="I22" i="4"/>
  <c r="D17" i="8" s="1"/>
  <c r="I13" i="4"/>
  <c r="D8" i="8" s="1"/>
  <c r="I47" i="4"/>
  <c r="D42" i="8" s="1"/>
  <c r="I48" i="4"/>
  <c r="D43" i="8" s="1"/>
  <c r="I12" i="4"/>
  <c r="D7" i="8" s="1"/>
  <c r="I21" i="4"/>
  <c r="D16" i="8" s="1"/>
  <c r="I49" i="4"/>
  <c r="D44" i="8" s="1"/>
  <c r="I11" i="4"/>
  <c r="D6" i="8" s="1"/>
  <c r="I50" i="4"/>
  <c r="D45" i="8" s="1"/>
  <c r="I20" i="4"/>
  <c r="D15" i="8" s="1"/>
  <c r="I51" i="4"/>
  <c r="D46" i="8" s="1"/>
  <c r="I40" i="4"/>
  <c r="D35" i="8" s="1"/>
  <c r="I30" i="3"/>
  <c r="C25" i="8" s="1"/>
  <c r="I24" i="3"/>
  <c r="C19" i="8" s="1"/>
  <c r="I14" i="3"/>
  <c r="C9" i="8" s="1"/>
  <c r="I18" i="3"/>
  <c r="C13" i="8" s="1"/>
  <c r="I47" i="3"/>
  <c r="C42" i="8" s="1"/>
  <c r="I57" i="3"/>
  <c r="C52" i="8" s="1"/>
  <c r="I70" i="3"/>
  <c r="C65" i="8" s="1"/>
  <c r="I62" i="3"/>
  <c r="C57" i="8" s="1"/>
  <c r="I61" i="3"/>
  <c r="C56" i="8" s="1"/>
  <c r="I39" i="2"/>
  <c r="B34" i="8" s="1"/>
  <c r="I59" i="3"/>
  <c r="C54" i="8" s="1"/>
  <c r="I55" i="3"/>
  <c r="C50" i="8" s="1"/>
  <c r="I54" i="3"/>
  <c r="C49" i="8" s="1"/>
  <c r="I69" i="3"/>
  <c r="C64" i="8" s="1"/>
  <c r="I53" i="3"/>
  <c r="C48" i="8" s="1"/>
  <c r="I11" i="3"/>
  <c r="C6" i="8" s="1"/>
  <c r="I52" i="3"/>
  <c r="C47" i="8" s="1"/>
  <c r="I51" i="3"/>
  <c r="C46" i="8" s="1"/>
  <c r="I68" i="3"/>
  <c r="C63" i="8" s="1"/>
  <c r="I50" i="3"/>
  <c r="C45" i="8" s="1"/>
  <c r="I49" i="3"/>
  <c r="C44" i="8" s="1"/>
  <c r="I48" i="3"/>
  <c r="C43" i="8" s="1"/>
  <c r="I67" i="3"/>
  <c r="C62" i="8" s="1"/>
  <c r="I64" i="3"/>
  <c r="C59" i="8" s="1"/>
  <c r="I17" i="3"/>
  <c r="C12" i="8" s="1"/>
  <c r="I46" i="3"/>
  <c r="C41" i="8" s="1"/>
  <c r="I45" i="3"/>
  <c r="C40" i="8" s="1"/>
  <c r="I66" i="3"/>
  <c r="C61" i="8" s="1"/>
  <c r="I44" i="3"/>
  <c r="C39" i="8" s="1"/>
  <c r="I43" i="3"/>
  <c r="C38" i="8" s="1"/>
  <c r="I42" i="3"/>
  <c r="C37" i="8" s="1"/>
  <c r="I65" i="3"/>
  <c r="C60" i="8" s="1"/>
  <c r="I41" i="3"/>
  <c r="C36" i="8" s="1"/>
  <c r="I40" i="3"/>
  <c r="C35" i="8" s="1"/>
  <c r="I39" i="3"/>
  <c r="C34" i="8" s="1"/>
  <c r="I38" i="3"/>
  <c r="C33" i="8" s="1"/>
  <c r="M22" i="5"/>
  <c r="E17" i="8" s="1"/>
  <c r="M66" i="5"/>
  <c r="E61" i="8" s="1"/>
  <c r="M58" i="5"/>
  <c r="E53" i="8" s="1"/>
  <c r="M13" i="5"/>
  <c r="E8" i="8" s="1"/>
  <c r="I15" i="2"/>
  <c r="B10" i="8" s="1"/>
  <c r="I38" i="2"/>
  <c r="B33" i="8" s="1"/>
  <c r="I56" i="2"/>
  <c r="B51" i="8" s="1"/>
  <c r="I14" i="2"/>
  <c r="B9" i="8" s="1"/>
  <c r="I46" i="2"/>
  <c r="B41" i="8" s="1"/>
  <c r="I37" i="2"/>
  <c r="B32" i="8" s="1"/>
  <c r="I13" i="2"/>
  <c r="B8" i="8" s="1"/>
  <c r="I52" i="2"/>
  <c r="B47" i="8" s="1"/>
  <c r="I60" i="2"/>
  <c r="B55" i="8" s="1"/>
  <c r="I12" i="2"/>
  <c r="B7" i="8" s="1"/>
  <c r="I25" i="2"/>
  <c r="B20" i="8" s="1"/>
  <c r="I24" i="2"/>
  <c r="B19" i="8" s="1"/>
  <c r="I11" i="2"/>
  <c r="B6" i="8" s="1"/>
  <c r="I45" i="2"/>
  <c r="B40" i="8" s="1"/>
  <c r="I58" i="2"/>
  <c r="B53" i="8" s="1"/>
  <c r="I36" i="2"/>
  <c r="B31" i="8" s="1"/>
  <c r="I51" i="2"/>
  <c r="B46" i="8" s="1"/>
  <c r="I55" i="2"/>
  <c r="B50" i="8" s="1"/>
  <c r="I35" i="2"/>
  <c r="B30" i="8" s="1"/>
  <c r="I63" i="2"/>
  <c r="B58" i="8" s="1"/>
  <c r="I23" i="2"/>
  <c r="B18" i="8" s="1"/>
  <c r="I34" i="2"/>
  <c r="B29" i="8" s="1"/>
  <c r="I50" i="2"/>
  <c r="B45" i="8" s="1"/>
  <c r="I43" i="2"/>
  <c r="B38" i="8" s="1"/>
  <c r="I33" i="2"/>
  <c r="B28" i="8" s="1"/>
  <c r="I22" i="2"/>
  <c r="B17" i="8" s="1"/>
  <c r="I62" i="2"/>
  <c r="B57" i="8" s="1"/>
  <c r="I32" i="2"/>
  <c r="B27" i="8" s="1"/>
  <c r="I54" i="2"/>
  <c r="B49" i="8" s="1"/>
  <c r="I21" i="2"/>
  <c r="B16" i="8" s="1"/>
  <c r="I31" i="2"/>
  <c r="B26" i="8" s="1"/>
  <c r="I42" i="2"/>
  <c r="B37" i="8" s="1"/>
  <c r="I49" i="2"/>
  <c r="B44" i="8" s="1"/>
  <c r="I30" i="2"/>
  <c r="B25" i="8" s="1"/>
  <c r="I20" i="2"/>
  <c r="B15" i="8" s="1"/>
  <c r="I57" i="2"/>
  <c r="B52" i="8" s="1"/>
  <c r="I29" i="2"/>
  <c r="B24" i="8" s="1"/>
  <c r="I41" i="2"/>
  <c r="B36" i="8" s="1"/>
  <c r="I19" i="2"/>
  <c r="B14" i="8" s="1"/>
  <c r="I28" i="2"/>
  <c r="B23" i="8" s="1"/>
  <c r="I61" i="2"/>
  <c r="B56" i="8" s="1"/>
  <c r="I48" i="2"/>
  <c r="B43" i="8" s="1"/>
  <c r="I27" i="2"/>
  <c r="B22" i="8" s="1"/>
  <c r="I18" i="2"/>
  <c r="B13" i="8" s="1"/>
  <c r="I40" i="2"/>
  <c r="B35" i="8" s="1"/>
  <c r="I26" i="2"/>
  <c r="B21" i="8" s="1"/>
  <c r="I59" i="2"/>
  <c r="B54" i="8" s="1"/>
  <c r="I17" i="2"/>
  <c r="B12" i="8" s="1"/>
  <c r="M59" i="7"/>
  <c r="G54" i="8" s="1"/>
  <c r="M49" i="7"/>
  <c r="G44" i="8" s="1"/>
  <c r="M60" i="5"/>
  <c r="E55" i="8" s="1"/>
  <c r="M24" i="5"/>
  <c r="E19" i="8" s="1"/>
  <c r="I53" i="2"/>
  <c r="B48" i="8" s="1"/>
  <c r="I44" i="2"/>
  <c r="B39" i="8" s="1"/>
  <c r="M61" i="7"/>
  <c r="G56" i="8" s="1"/>
  <c r="M48" i="7"/>
  <c r="G43" i="8" s="1"/>
  <c r="M69" i="7"/>
  <c r="G64" i="8" s="1"/>
  <c r="M65" i="7"/>
  <c r="G60" i="8" s="1"/>
  <c r="M60" i="7"/>
  <c r="G55" i="8" s="1"/>
  <c r="M14" i="5"/>
  <c r="E9" i="8" s="1"/>
  <c r="M39" i="7"/>
  <c r="G34" i="8" s="1"/>
  <c r="M68" i="7"/>
  <c r="G63" i="8" s="1"/>
  <c r="M67" i="7"/>
  <c r="G62" i="8" s="1"/>
</calcChain>
</file>

<file path=xl/sharedStrings.xml><?xml version="1.0" encoding="utf-8"?>
<sst xmlns="http://schemas.openxmlformats.org/spreadsheetml/2006/main" count="160" uniqueCount="60">
  <si>
    <r>
      <rPr>
        <b/>
        <sz val="11"/>
        <rFont val="Noto Sans CJK SC"/>
        <family val="2"/>
      </rPr>
      <t>フラジリティ曲線のパラメータ（黒田</t>
    </r>
    <r>
      <rPr>
        <b/>
        <sz val="11"/>
        <rFont val="游ゴシック"/>
        <family val="3"/>
        <charset val="128"/>
      </rPr>
      <t xml:space="preserve">(2024) </t>
    </r>
    <r>
      <rPr>
        <b/>
        <sz val="11"/>
        <rFont val="Noto Sans CJK SC"/>
        <family val="2"/>
      </rPr>
      <t>博士論文 表</t>
    </r>
    <r>
      <rPr>
        <b/>
        <sz val="11"/>
        <rFont val="游ゴシック"/>
        <family val="3"/>
        <charset val="128"/>
      </rPr>
      <t>3-9</t>
    </r>
    <r>
      <rPr>
        <b/>
        <sz val="11"/>
        <rFont val="Noto Sans CJK SC"/>
        <family val="2"/>
      </rPr>
      <t>）</t>
    </r>
  </si>
  <si>
    <t>パラメータ</t>
  </si>
  <si>
    <t>製造業</t>
  </si>
  <si>
    <t>生活関連型産業</t>
  </si>
  <si>
    <t>基礎素材型産業</t>
  </si>
  <si>
    <t>非製造業</t>
  </si>
  <si>
    <t>卸売・小売業</t>
  </si>
  <si>
    <t>サービス業</t>
  </si>
  <si>
    <t>μ1</t>
  </si>
  <si>
    <t>μ2</t>
  </si>
  <si>
    <t>μ3</t>
  </si>
  <si>
    <t>μ4</t>
  </si>
  <si>
    <t>－</t>
  </si>
  <si>
    <t>μ5</t>
  </si>
  <si>
    <t>σ</t>
  </si>
  <si>
    <r>
      <rPr>
        <sz val="11"/>
        <rFont val="Noto Sans CJK SC"/>
        <family val="2"/>
      </rPr>
      <t>標本数</t>
    </r>
    <r>
      <rPr>
        <sz val="11"/>
        <rFont val="游ゴシック"/>
        <family val="3"/>
        <charset val="128"/>
      </rPr>
      <t>N</t>
    </r>
  </si>
  <si>
    <t>lnL1</t>
  </si>
  <si>
    <t>lnL0</t>
  </si>
  <si>
    <t>χ²</t>
  </si>
  <si>
    <t>ρ²</t>
  </si>
  <si>
    <t>被害モードの定義と損失率（被害区分は最大値を使用）</t>
  </si>
  <si>
    <t>被害モード</t>
  </si>
  <si>
    <t>製造業 被害区分</t>
  </si>
  <si>
    <r>
      <rPr>
        <b/>
        <sz val="11"/>
        <rFont val="Noto Sans CJK SC"/>
        <family val="2"/>
      </rPr>
      <t>製造業 損失率</t>
    </r>
    <r>
      <rPr>
        <b/>
        <sz val="11"/>
        <rFont val="游ゴシック"/>
        <family val="3"/>
        <charset val="128"/>
      </rPr>
      <t>(</t>
    </r>
    <r>
      <rPr>
        <b/>
        <sz val="11"/>
        <rFont val="Noto Sans CJK SC"/>
        <family val="2"/>
      </rPr>
      <t>最大値</t>
    </r>
    <r>
      <rPr>
        <b/>
        <sz val="11"/>
        <rFont val="游ゴシック"/>
        <family val="3"/>
        <charset val="128"/>
      </rPr>
      <t>)</t>
    </r>
  </si>
  <si>
    <t>非製造業 被害区分</t>
  </si>
  <si>
    <r>
      <rPr>
        <b/>
        <sz val="11"/>
        <rFont val="Noto Sans CJK SC"/>
        <family val="2"/>
      </rPr>
      <t>非製造業 損失率</t>
    </r>
    <r>
      <rPr>
        <b/>
        <sz val="11"/>
        <rFont val="游ゴシック"/>
        <family val="3"/>
        <charset val="128"/>
      </rPr>
      <t>(</t>
    </r>
    <r>
      <rPr>
        <b/>
        <sz val="11"/>
        <rFont val="Noto Sans CJK SC"/>
        <family val="2"/>
      </rPr>
      <t>最大値</t>
    </r>
    <r>
      <rPr>
        <b/>
        <sz val="11"/>
        <rFont val="游ゴシック"/>
        <family val="3"/>
        <charset val="128"/>
      </rPr>
      <t>)</t>
    </r>
  </si>
  <si>
    <r>
      <rPr>
        <sz val="11"/>
        <rFont val="游ゴシック"/>
        <family val="3"/>
        <charset val="128"/>
      </rPr>
      <t xml:space="preserve">0% &lt; </t>
    </r>
    <r>
      <rPr>
        <sz val="11"/>
        <rFont val="Noto Sans CJK SC"/>
        <family val="2"/>
      </rPr>
      <t xml:space="preserve">復旧費用率 ≤ </t>
    </r>
    <r>
      <rPr>
        <sz val="11"/>
        <rFont val="游ゴシック"/>
        <family val="3"/>
        <charset val="128"/>
      </rPr>
      <t>25%</t>
    </r>
  </si>
  <si>
    <r>
      <rPr>
        <sz val="11"/>
        <rFont val="游ゴシック"/>
        <family val="3"/>
        <charset val="128"/>
      </rPr>
      <t xml:space="preserve">25% &lt; </t>
    </r>
    <r>
      <rPr>
        <sz val="11"/>
        <rFont val="Noto Sans CJK SC"/>
        <family val="2"/>
      </rPr>
      <t xml:space="preserve">復旧費用率 ≤ </t>
    </r>
    <r>
      <rPr>
        <sz val="11"/>
        <rFont val="游ゴシック"/>
        <family val="3"/>
        <charset val="128"/>
      </rPr>
      <t>50%</t>
    </r>
  </si>
  <si>
    <r>
      <rPr>
        <sz val="11"/>
        <rFont val="游ゴシック"/>
        <family val="3"/>
        <charset val="128"/>
      </rPr>
      <t xml:space="preserve">50% &lt; </t>
    </r>
    <r>
      <rPr>
        <sz val="11"/>
        <rFont val="Noto Sans CJK SC"/>
        <family val="2"/>
      </rPr>
      <t xml:space="preserve">復旧費用率 ≤ </t>
    </r>
    <r>
      <rPr>
        <sz val="11"/>
        <rFont val="游ゴシック"/>
        <family val="3"/>
        <charset val="128"/>
      </rPr>
      <t>100%</t>
    </r>
  </si>
  <si>
    <r>
      <rPr>
        <sz val="11"/>
        <rFont val="游ゴシック"/>
        <family val="3"/>
        <charset val="128"/>
      </rPr>
      <t xml:space="preserve">50% &lt; </t>
    </r>
    <r>
      <rPr>
        <sz val="11"/>
        <rFont val="Noto Sans CJK SC"/>
        <family val="2"/>
      </rPr>
      <t xml:space="preserve">復旧費用率 ≤ </t>
    </r>
    <r>
      <rPr>
        <sz val="11"/>
        <rFont val="游ゴシック"/>
        <family val="3"/>
        <charset val="128"/>
      </rPr>
      <t>75%</t>
    </r>
  </si>
  <si>
    <r>
      <rPr>
        <sz val="11"/>
        <rFont val="游ゴシック"/>
        <family val="3"/>
        <charset val="128"/>
      </rPr>
      <t xml:space="preserve">75% &lt; </t>
    </r>
    <r>
      <rPr>
        <sz val="11"/>
        <rFont val="Noto Sans CJK SC"/>
        <family val="2"/>
      </rPr>
      <t xml:space="preserve">復旧費用率 </t>
    </r>
    <r>
      <rPr>
        <sz val="11"/>
        <rFont val="游ゴシック"/>
        <family val="3"/>
        <charset val="128"/>
      </rPr>
      <t>&lt; 100%</t>
    </r>
  </si>
  <si>
    <r>
      <rPr>
        <sz val="11"/>
        <rFont val="Noto Sans CJK SC"/>
        <family val="2"/>
      </rPr>
      <t>※ 非製造業の被害モード</t>
    </r>
    <r>
      <rPr>
        <sz val="11"/>
        <rFont val="游ゴシック"/>
        <family val="3"/>
        <charset val="128"/>
      </rPr>
      <t>4</t>
    </r>
    <r>
      <rPr>
        <sz val="11"/>
        <rFont val="Noto Sans CJK SC"/>
        <family val="2"/>
      </rPr>
      <t>（</t>
    </r>
    <r>
      <rPr>
        <sz val="11"/>
        <rFont val="游ゴシック"/>
        <family val="3"/>
        <charset val="128"/>
      </rPr>
      <t>75%</t>
    </r>
    <r>
      <rPr>
        <sz val="11"/>
        <rFont val="Noto Sans CJK SC"/>
        <family val="2"/>
      </rPr>
      <t>超〜</t>
    </r>
    <r>
      <rPr>
        <sz val="11"/>
        <rFont val="游ゴシック"/>
        <family val="3"/>
        <charset val="128"/>
      </rPr>
      <t>100%</t>
    </r>
    <r>
      <rPr>
        <sz val="11"/>
        <rFont val="Noto Sans CJK SC"/>
        <family val="2"/>
      </rPr>
      <t>未満）は、被害モード</t>
    </r>
    <r>
      <rPr>
        <sz val="11"/>
        <rFont val="游ゴシック"/>
        <family val="3"/>
        <charset val="128"/>
      </rPr>
      <t>5</t>
    </r>
    <r>
      <rPr>
        <sz val="11"/>
        <rFont val="Noto Sans CJK SC"/>
        <family val="2"/>
      </rPr>
      <t>（</t>
    </r>
    <r>
      <rPr>
        <sz val="11"/>
        <rFont val="游ゴシック"/>
        <family val="3"/>
        <charset val="128"/>
      </rPr>
      <t>=100%</t>
    </r>
    <r>
      <rPr>
        <sz val="11"/>
        <rFont val="Noto Sans CJK SC"/>
        <family val="2"/>
      </rPr>
      <t>）が別にあるため、上限の</t>
    </r>
    <r>
      <rPr>
        <sz val="11"/>
        <rFont val="游ゴシック"/>
        <family val="3"/>
        <charset val="128"/>
      </rPr>
      <t>100%</t>
    </r>
    <r>
      <rPr>
        <sz val="11"/>
        <rFont val="Noto Sans CJK SC"/>
        <family val="2"/>
      </rPr>
      <t>ではなく</t>
    </r>
    <r>
      <rPr>
        <sz val="11"/>
        <rFont val="游ゴシック"/>
        <family val="3"/>
        <charset val="128"/>
      </rPr>
      <t>90%</t>
    </r>
    <r>
      <rPr>
        <sz val="11"/>
        <rFont val="Noto Sans CJK SC"/>
        <family val="2"/>
      </rPr>
      <t>を損失率とした。</t>
    </r>
  </si>
  <si>
    <r>
      <rPr>
        <sz val="11"/>
        <rFont val="Noto Sans CJK SC"/>
        <family val="2"/>
      </rPr>
      <t>※ 製造業は標本数の制約から、被害モード</t>
    </r>
    <r>
      <rPr>
        <sz val="11"/>
        <rFont val="游ゴシック"/>
        <family val="3"/>
        <charset val="128"/>
      </rPr>
      <t>3</t>
    </r>
    <r>
      <rPr>
        <sz val="11"/>
        <rFont val="Noto Sans CJK SC"/>
        <family val="2"/>
      </rPr>
      <t>〜</t>
    </r>
    <r>
      <rPr>
        <sz val="11"/>
        <rFont val="游ゴシック"/>
        <family val="3"/>
        <charset val="128"/>
      </rPr>
      <t>5</t>
    </r>
    <r>
      <rPr>
        <sz val="11"/>
        <rFont val="Noto Sans CJK SC"/>
        <family val="2"/>
      </rPr>
      <t>を被害モード</t>
    </r>
    <r>
      <rPr>
        <sz val="11"/>
        <rFont val="游ゴシック"/>
        <family val="3"/>
        <charset val="128"/>
      </rPr>
      <t>3</t>
    </r>
    <r>
      <rPr>
        <sz val="11"/>
        <rFont val="Noto Sans CJK SC"/>
        <family val="2"/>
      </rPr>
      <t>（</t>
    </r>
    <r>
      <rPr>
        <sz val="11"/>
        <rFont val="游ゴシック"/>
        <family val="3"/>
        <charset val="128"/>
      </rPr>
      <t>50%</t>
    </r>
    <r>
      <rPr>
        <sz val="11"/>
        <rFont val="Noto Sans CJK SC"/>
        <family val="2"/>
      </rPr>
      <t>超〜</t>
    </r>
    <r>
      <rPr>
        <sz val="11"/>
        <rFont val="游ゴシック"/>
        <family val="3"/>
        <charset val="128"/>
      </rPr>
      <t>100%</t>
    </r>
    <r>
      <rPr>
        <sz val="11"/>
        <rFont val="Noto Sans CJK SC"/>
        <family val="2"/>
      </rPr>
      <t>）に統合している（論文 表</t>
    </r>
    <r>
      <rPr>
        <sz val="11"/>
        <rFont val="游ゴシック"/>
        <family val="3"/>
        <charset val="128"/>
      </rPr>
      <t>3-5</t>
    </r>
    <r>
      <rPr>
        <sz val="11"/>
        <rFont val="Noto Sans CJK SC"/>
        <family val="2"/>
      </rPr>
      <t>）。</t>
    </r>
  </si>
  <si>
    <r>
      <rPr>
        <sz val="11"/>
        <rFont val="Noto Sans CJK SC"/>
        <family val="2"/>
      </rPr>
      <t>※ 浸水深</t>
    </r>
    <r>
      <rPr>
        <sz val="11"/>
        <rFont val="游ゴシック"/>
        <family val="3"/>
        <charset val="128"/>
      </rPr>
      <t>0cm</t>
    </r>
    <r>
      <rPr>
        <sz val="11"/>
        <rFont val="Noto Sans CJK SC"/>
        <family val="2"/>
      </rPr>
      <t xml:space="preserve">では </t>
    </r>
    <r>
      <rPr>
        <sz val="11"/>
        <rFont val="游ゴシック"/>
        <family val="3"/>
        <charset val="128"/>
      </rPr>
      <t xml:space="preserve">ln(0) </t>
    </r>
    <r>
      <rPr>
        <sz val="11"/>
        <rFont val="Noto Sans CJK SC"/>
        <family val="2"/>
      </rPr>
      <t>が定義できないため、損失率は</t>
    </r>
    <r>
      <rPr>
        <sz val="11"/>
        <rFont val="游ゴシック"/>
        <family val="3"/>
        <charset val="128"/>
      </rPr>
      <t>0</t>
    </r>
    <r>
      <rPr>
        <sz val="11"/>
        <rFont val="Noto Sans CJK SC"/>
        <family val="2"/>
      </rPr>
      <t>とする。</t>
    </r>
  </si>
  <si>
    <t>製造業：フラジリティ曲線と損失率曲線</t>
  </si>
  <si>
    <t>損失率</t>
  </si>
  <si>
    <t>μ</t>
  </si>
  <si>
    <r>
      <rPr>
        <sz val="11"/>
        <rFont val="Noto Sans CJK SC"/>
        <family val="2"/>
      </rPr>
      <t>浸水深</t>
    </r>
    <r>
      <rPr>
        <sz val="11"/>
        <rFont val="游ゴシック"/>
        <family val="3"/>
        <charset val="128"/>
      </rPr>
      <t>(cm)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</si>
  <si>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1</t>
    </r>
    <r>
      <rPr>
        <sz val="11"/>
        <rFont val="Noto Sans CJK SC"/>
        <family val="2"/>
      </rPr>
      <t>以上率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</si>
  <si>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2</t>
    </r>
    <r>
      <rPr>
        <sz val="11"/>
        <rFont val="Noto Sans CJK SC"/>
        <family val="2"/>
      </rPr>
      <t>以上率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</si>
  <si>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3</t>
    </r>
    <r>
      <rPr>
        <sz val="11"/>
        <rFont val="Noto Sans CJK SC"/>
        <family val="2"/>
      </rPr>
      <t>以上率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</si>
  <si>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0</t>
    </r>
    <r>
      <rPr>
        <sz val="11"/>
        <rFont val="Noto Sans CJK SC"/>
        <family val="2"/>
      </rPr>
      <t>率</t>
    </r>
    <r>
      <rPr>
        <sz val="11"/>
        <rFont val="游ゴシック"/>
        <family val="3"/>
        <charset val="128"/>
      </rPr>
      <t>(</t>
    </r>
    <r>
      <rPr>
        <sz val="11"/>
        <rFont val="Noto Sans CJK SC"/>
        <family val="2"/>
      </rPr>
      <t>無被害</t>
    </r>
    <r>
      <rPr>
        <sz val="11"/>
        <rFont val="游ゴシック"/>
        <family val="3"/>
        <charset val="128"/>
      </rPr>
      <t>)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</si>
  <si>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1</t>
    </r>
    <r>
      <rPr>
        <sz val="11"/>
        <rFont val="Noto Sans CJK SC"/>
        <family val="2"/>
      </rPr>
      <t>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</si>
  <si>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2</t>
    </r>
    <r>
      <rPr>
        <sz val="11"/>
        <rFont val="Noto Sans CJK SC"/>
        <family val="2"/>
      </rPr>
      <t>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</si>
  <si>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3</t>
    </r>
    <r>
      <rPr>
        <sz val="11"/>
        <rFont val="Noto Sans CJK SC"/>
        <family val="2"/>
      </rPr>
      <t>率</t>
    </r>
  </si>
  <si>
    <t>生活関連型産業：フラジリティ曲線と損失率曲線</t>
  </si>
  <si>
    <t>基礎素材型産業：フラジリティ曲線と損失率曲線</t>
  </si>
  <si>
    <t>非製造業：フラジリティ曲線と損失率曲線</t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</si>
  <si>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4</t>
    </r>
    <r>
      <rPr>
        <sz val="11"/>
        <rFont val="Noto Sans CJK SC"/>
        <family val="2"/>
      </rPr>
      <t>以上率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</si>
  <si>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5</t>
    </r>
    <r>
      <rPr>
        <sz val="11"/>
        <rFont val="Noto Sans CJK SC"/>
        <family val="2"/>
      </rPr>
      <t>以上率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</si>
  <si>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4</t>
    </r>
    <r>
      <rPr>
        <sz val="11"/>
        <rFont val="Noto Sans CJK SC"/>
        <family val="2"/>
      </rPr>
      <t>率</t>
    </r>
  </si>
  <si>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5</t>
    </r>
    <r>
      <rPr>
        <sz val="11"/>
        <rFont val="Noto Sans CJK SC"/>
        <family val="2"/>
      </rPr>
      <t>率</t>
    </r>
  </si>
  <si>
    <t>卸売・小売業：フラジリティ曲線と損失率曲線</t>
  </si>
  <si>
    <t>サービス業：フラジリティ曲線と損失率曲線</t>
  </si>
  <si>
    <t>被害関数（浸水深－復旧費用率の期待値）：被害区分の最大値を使用</t>
  </si>
  <si>
    <r>
      <rPr>
        <sz val="11"/>
        <rFont val="Noto Sans CJK SC"/>
        <family val="2"/>
      </rPr>
      <t xml:space="preserve">損失率 </t>
    </r>
    <r>
      <rPr>
        <sz val="11"/>
        <rFont val="游ゴシック"/>
        <family val="3"/>
        <charset val="128"/>
      </rPr>
      <t>= Σ(</t>
    </r>
    <r>
      <rPr>
        <sz val="11"/>
        <rFont val="Noto Sans CJK SC"/>
        <family val="2"/>
      </rPr>
      <t>被害モード</t>
    </r>
    <r>
      <rPr>
        <sz val="11"/>
        <rFont val="游ゴシック"/>
        <family val="3"/>
        <charset val="128"/>
      </rPr>
      <t>k</t>
    </r>
    <r>
      <rPr>
        <sz val="11"/>
        <rFont val="Noto Sans CJK SC"/>
        <family val="2"/>
      </rPr>
      <t xml:space="preserve">となる確率 </t>
    </r>
    <r>
      <rPr>
        <sz val="11"/>
        <rFont val="游ゴシック"/>
        <family val="3"/>
        <charset val="128"/>
      </rPr>
      <t xml:space="preserve">× </t>
    </r>
    <r>
      <rPr>
        <sz val="11"/>
        <rFont val="Noto Sans CJK SC"/>
        <family val="2"/>
      </rPr>
      <t>被害区分の最大値</t>
    </r>
    <r>
      <rPr>
        <sz val="11"/>
        <rFont val="游ゴシック"/>
        <family val="3"/>
        <charset val="128"/>
      </rPr>
      <t>)</t>
    </r>
    <r>
      <rPr>
        <sz val="11"/>
        <rFont val="Noto Sans CJK SC"/>
        <family val="2"/>
      </rPr>
      <t>。非製造業の被害モード</t>
    </r>
    <r>
      <rPr>
        <sz val="11"/>
        <rFont val="游ゴシック"/>
        <family val="3"/>
        <charset val="128"/>
      </rPr>
      <t>4</t>
    </r>
    <r>
      <rPr>
        <sz val="11"/>
        <rFont val="Noto Sans CJK SC"/>
        <family val="2"/>
      </rPr>
      <t>は</t>
    </r>
    <r>
      <rPr>
        <sz val="11"/>
        <rFont val="游ゴシック"/>
        <family val="3"/>
        <charset val="128"/>
      </rPr>
      <t>90%</t>
    </r>
    <r>
      <rPr>
        <sz val="11"/>
        <rFont val="Noto Sans CJK SC"/>
        <family val="2"/>
      </rPr>
      <t>。</t>
    </r>
  </si>
  <si>
    <r>
      <rPr>
        <b/>
        <sz val="11"/>
        <rFont val="Noto Sans CJK SC"/>
        <family val="2"/>
      </rPr>
      <t>浸水深</t>
    </r>
    <r>
      <rPr>
        <b/>
        <sz val="11"/>
        <rFont val="游ゴシック"/>
        <family val="3"/>
        <charset val="128"/>
      </rPr>
      <t>(cm)</t>
    </r>
  </si>
  <si>
    <r>
      <rPr>
        <b/>
        <sz val="11"/>
        <rFont val="Noto Sans CJK SC"/>
        <family val="2"/>
      </rPr>
      <t>参考：被害区分の中央値を使用した場合（黒田</t>
    </r>
    <r>
      <rPr>
        <b/>
        <sz val="11"/>
        <rFont val="游ゴシック"/>
        <family val="3"/>
        <charset val="128"/>
      </rPr>
      <t xml:space="preserve">(2024) </t>
    </r>
    <r>
      <rPr>
        <b/>
        <sz val="11"/>
        <rFont val="Noto Sans CJK SC"/>
        <family val="2"/>
      </rPr>
      <t>図</t>
    </r>
    <r>
      <rPr>
        <b/>
        <sz val="11"/>
        <rFont val="游ゴシック"/>
        <family val="3"/>
        <charset val="128"/>
      </rPr>
      <t>3-4</t>
    </r>
    <r>
      <rPr>
        <b/>
        <sz val="11"/>
        <rFont val="Noto Sans CJK SC"/>
        <family val="2"/>
      </rPr>
      <t>の再現確認用）</t>
    </r>
  </si>
  <si>
    <r>
      <rPr>
        <sz val="11"/>
        <rFont val="Noto Sans CJK SC"/>
        <family val="2"/>
      </rPr>
      <t>中央値：</t>
    </r>
    <r>
      <rPr>
        <sz val="11"/>
        <rFont val="游ゴシック"/>
        <family val="3"/>
        <charset val="128"/>
      </rPr>
      <t>12.5%, 37.5%, 62.5%(</t>
    </r>
    <r>
      <rPr>
        <sz val="11"/>
        <rFont val="Noto Sans CJK SC"/>
        <family val="2"/>
      </rPr>
      <t>非製造業モード</t>
    </r>
    <r>
      <rPr>
        <sz val="11"/>
        <rFont val="游ゴシック"/>
        <family val="3"/>
        <charset val="128"/>
      </rPr>
      <t>3) / 75%(</t>
    </r>
    <r>
      <rPr>
        <sz val="11"/>
        <rFont val="Noto Sans CJK SC"/>
        <family val="2"/>
      </rPr>
      <t>製造業モード</t>
    </r>
    <r>
      <rPr>
        <sz val="11"/>
        <rFont val="游ゴシック"/>
        <family val="3"/>
        <charset val="128"/>
      </rPr>
      <t>3), 87.5%, 100%</t>
    </r>
    <r>
      <rPr>
        <sz val="11"/>
        <rFont val="Noto Sans CJK SC"/>
        <family val="2"/>
      </rPr>
      <t>。</t>
    </r>
  </si>
  <si>
    <r>
      <rPr>
        <sz val="11"/>
        <rFont val="ＭＳ ゴシック"/>
        <family val="3"/>
        <charset val="128"/>
      </rPr>
      <t>被害モード</t>
    </r>
    <r>
      <rPr>
        <sz val="11"/>
        <rFont val="Noto Sans CJK SC"/>
        <family val="3"/>
        <charset val="128"/>
      </rPr>
      <t>k</t>
    </r>
    <r>
      <rPr>
        <sz val="11"/>
        <rFont val="ＭＳ ゴシック"/>
        <family val="3"/>
        <charset val="128"/>
      </rPr>
      <t>以上となる確率</t>
    </r>
    <r>
      <rPr>
        <sz val="11"/>
        <rFont val="Noto Sans CJK SC"/>
        <family val="2"/>
      </rPr>
      <t xml:space="preserve"> </t>
    </r>
    <r>
      <rPr>
        <sz val="11"/>
        <rFont val="Noto Sans CJK SC"/>
        <family val="3"/>
        <charset val="128"/>
      </rPr>
      <t>P(X</t>
    </r>
    <r>
      <rPr>
        <sz val="11"/>
        <rFont val="游ゴシック"/>
        <family val="3"/>
        <charset val="128"/>
      </rPr>
      <t>≧</t>
    </r>
    <r>
      <rPr>
        <sz val="11"/>
        <rFont val="Noto Sans CJK SC"/>
        <family val="3"/>
        <charset val="128"/>
      </rPr>
      <t xml:space="preserve">k | </t>
    </r>
    <r>
      <rPr>
        <sz val="11"/>
        <rFont val="ＭＳ ゴシック"/>
        <family val="3"/>
        <charset val="128"/>
      </rPr>
      <t>浸水深</t>
    </r>
    <r>
      <rPr>
        <sz val="11"/>
        <rFont val="Noto Sans CJK SC"/>
        <family val="3"/>
        <charset val="128"/>
      </rPr>
      <t xml:space="preserve">h) = </t>
    </r>
    <r>
      <rPr>
        <sz val="11"/>
        <rFont val="游ゴシック"/>
        <family val="3"/>
        <charset val="128"/>
      </rPr>
      <t>Φ</t>
    </r>
    <r>
      <rPr>
        <sz val="11"/>
        <rFont val="Noto Sans CJK SC"/>
        <family val="3"/>
        <charset val="128"/>
      </rPr>
      <t xml:space="preserve">( (ln h </t>
    </r>
    <r>
      <rPr>
        <sz val="11"/>
        <rFont val="游ゴシック"/>
        <family val="3"/>
        <charset val="128"/>
      </rPr>
      <t>−</t>
    </r>
    <r>
      <rPr>
        <sz val="11"/>
        <rFont val="Noto Sans CJK SC"/>
        <family val="3"/>
        <charset val="128"/>
      </rPr>
      <t xml:space="preserve"> </t>
    </r>
    <r>
      <rPr>
        <sz val="11"/>
        <rFont val="游ゴシック"/>
        <family val="3"/>
        <charset val="128"/>
      </rPr>
      <t>μ</t>
    </r>
    <r>
      <rPr>
        <sz val="11"/>
        <rFont val="Noto Sans CJK SC"/>
        <family val="3"/>
        <charset val="128"/>
      </rPr>
      <t xml:space="preserve">k) / </t>
    </r>
    <r>
      <rPr>
        <sz val="11"/>
        <rFont val="游ゴシック"/>
        <family val="3"/>
        <charset val="128"/>
      </rPr>
      <t>σ</t>
    </r>
    <r>
      <rPr>
        <sz val="11"/>
        <rFont val="Noto Sans CJK SC"/>
        <family val="3"/>
        <charset val="128"/>
      </rPr>
      <t xml:space="preserve"> )</t>
    </r>
    <r>
      <rPr>
        <sz val="11"/>
        <rFont val="ＭＳ ゴシック"/>
        <family val="3"/>
        <charset val="128"/>
      </rPr>
      <t>　（</t>
    </r>
    <r>
      <rPr>
        <sz val="11"/>
        <rFont val="Noto Sans CJK SC"/>
        <family val="3"/>
        <charset val="128"/>
      </rPr>
      <t>h</t>
    </r>
    <r>
      <rPr>
        <sz val="11"/>
        <rFont val="ＭＳ ゴシック"/>
        <family val="3"/>
        <charset val="128"/>
      </rPr>
      <t>：浸水深</t>
    </r>
    <r>
      <rPr>
        <sz val="11"/>
        <rFont val="Noto Sans CJK SC"/>
        <family val="3"/>
        <charset val="128"/>
      </rPr>
      <t>[cm]</t>
    </r>
    <r>
      <rPr>
        <sz val="11"/>
        <rFont val="ＭＳ ゴシック"/>
        <family val="3"/>
        <charset val="128"/>
      </rPr>
      <t>、</t>
    </r>
    <r>
      <rPr>
        <sz val="11"/>
        <rFont val="游ゴシック"/>
        <family val="3"/>
        <charset val="128"/>
      </rPr>
      <t>Φ</t>
    </r>
    <r>
      <rPr>
        <sz val="11"/>
        <rFont val="ＭＳ ゴシック"/>
        <family val="3"/>
        <charset val="128"/>
      </rPr>
      <t>：標準正規分布の累積分布関数）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</si>
</sst>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b/>
      <sz val="11"/>
      <name val="游ゴシック"/>
      <family val="3"/>
      <charset val="128"/>
    </font>
    <font>
      <sz val="11"/>
      <name val="Noto Sans CJK SC"/>
      <family val="2"/>
    </font>
    <font>
      <sz val="11"/>
      <name val="游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Noto Sans CJK S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0" fontId="4" fillId="0" borderId="1" xfId="0" applyNumberFormat="1" applyFont="1" applyBorder="1"/>
    <xf numFmtId="9" fontId="4" fillId="0" borderId="1" xfId="0" applyNumberFormat="1" applyFont="1" applyBorder="1"/>
    <xf numFmtId="9" fontId="3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/>
    <xf numFmtId="0" fontId="4" fillId="0" borderId="0" xfId="0" applyFont="1"/>
    <xf numFmtId="176" fontId="4" fillId="0" borderId="1" xfId="0" applyNumberFormat="1" applyFont="1" applyBorder="1"/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D0201E"/>
      <rgbColor rgb="FF993366"/>
      <rgbColor rgb="FF1F4E9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製造業 フラジリティ曲線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'1_製造業'!$B$9</c:f>
              <c:strCache>
                <c:ptCount val="1"/>
                <c:pt idx="0">
                  <c:v>被害モード1以上率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'1_製造業'!$A$10:$A$70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'1_製造業'!$B$10:$B$70</c:f>
              <c:numCache>
                <c:formatCode>General</c:formatCode>
                <c:ptCount val="61"/>
                <c:pt idx="0">
                  <c:v>0</c:v>
                </c:pt>
                <c:pt idx="1">
                  <c:v>0.16767653944219946</c:v>
                </c:pt>
                <c:pt idx="2">
                  <c:v>0.42678297115155528</c:v>
                </c:pt>
                <c:pt idx="3">
                  <c:v>0.60680767339703012</c:v>
                </c:pt>
                <c:pt idx="4">
                  <c:v>0.72382639806039517</c:v>
                </c:pt>
                <c:pt idx="5">
                  <c:v>0.80093611301141965</c:v>
                </c:pt>
                <c:pt idx="6">
                  <c:v>0.85310079121345717</c:v>
                </c:pt>
                <c:pt idx="7">
                  <c:v>0.88934050789104235</c:v>
                </c:pt>
                <c:pt idx="8">
                  <c:v>0.91513371748447758</c:v>
                </c:pt>
                <c:pt idx="9">
                  <c:v>0.93388989525980093</c:v>
                </c:pt>
                <c:pt idx="10">
                  <c:v>0.94778933298111523</c:v>
                </c:pt>
                <c:pt idx="11">
                  <c:v>0.95826313122739204</c:v>
                </c:pt>
                <c:pt idx="12">
                  <c:v>0.96627340231341907</c:v>
                </c:pt>
                <c:pt idx="13">
                  <c:v>0.97248112115203056</c:v>
                </c:pt>
                <c:pt idx="14">
                  <c:v>0.97734932028859955</c:v>
                </c:pt>
                <c:pt idx="15">
                  <c:v>0.98120811545729081</c:v>
                </c:pt>
                <c:pt idx="16">
                  <c:v>0.98429662380565808</c:v>
                </c:pt>
                <c:pt idx="17">
                  <c:v>0.98679055658846249</c:v>
                </c:pt>
                <c:pt idx="18">
                  <c:v>0.98882073231190915</c:v>
                </c:pt>
                <c:pt idx="19">
                  <c:v>0.99048571683372832</c:v>
                </c:pt>
                <c:pt idx="20">
                  <c:v>0.99186059268451177</c:v>
                </c:pt>
                <c:pt idx="21">
                  <c:v>0.9930031329141189</c:v>
                </c:pt>
                <c:pt idx="22">
                  <c:v>0.99395820675658164</c:v>
                </c:pt>
                <c:pt idx="23">
                  <c:v>0.99476096294587679</c:v>
                </c:pt>
                <c:pt idx="24">
                  <c:v>0.99543915650033321</c:v>
                </c:pt>
                <c:pt idx="25">
                  <c:v>0.99601486773476888</c:v>
                </c:pt>
                <c:pt idx="26">
                  <c:v>0.99650578495613362</c:v>
                </c:pt>
                <c:pt idx="27">
                  <c:v>0.99692617051057053</c:v>
                </c:pt>
                <c:pt idx="28">
                  <c:v>0.99728759468799288</c:v>
                </c:pt>
                <c:pt idx="29">
                  <c:v>0.99759949781650892</c:v>
                </c:pt>
                <c:pt idx="30">
                  <c:v>0.99786962406396551</c:v>
                </c:pt>
                <c:pt idx="31">
                  <c:v>0.99810435863849434</c:v>
                </c:pt>
                <c:pt idx="32">
                  <c:v>0.9983089916774861</c:v>
                </c:pt>
                <c:pt idx="33">
                  <c:v>0.99848792608597448</c:v>
                </c:pt>
                <c:pt idx="34">
                  <c:v>0.99864484222053129</c:v>
                </c:pt>
                <c:pt idx="35">
                  <c:v>0.99878282912704508</c:v>
                </c:pt>
                <c:pt idx="36">
                  <c:v>0.99890448969364165</c:v>
                </c:pt>
                <c:pt idx="37">
                  <c:v>0.99901202533844946</c:v>
                </c:pt>
                <c:pt idx="38">
                  <c:v>0.99910730455018959</c:v>
                </c:pt>
                <c:pt idx="39">
                  <c:v>0.99919191861979628</c:v>
                </c:pt>
                <c:pt idx="40">
                  <c:v>0.99926722715895278</c:v>
                </c:pt>
                <c:pt idx="41">
                  <c:v>0.99933439543544078</c:v>
                </c:pt>
                <c:pt idx="42">
                  <c:v>0.99939442512107879</c:v>
                </c:pt>
                <c:pt idx="43">
                  <c:v>0.99944817971312672</c:v>
                </c:pt>
                <c:pt idx="44">
                  <c:v>0.99949640563026321</c:v>
                </c:pt>
                <c:pt idx="45">
                  <c:v>0.9995397497816918</c:v>
                </c:pt>
                <c:pt idx="46">
                  <c:v>0.99957877424920527</c:v>
                </c:pt>
                <c:pt idx="47">
                  <c:v>0.99961396859704688</c:v>
                </c:pt>
                <c:pt idx="48">
                  <c:v>0.99964576022554141</c:v>
                </c:pt>
                <c:pt idx="49">
                  <c:v>0.99967452310590721</c:v>
                </c:pt>
                <c:pt idx="50">
                  <c:v>0.99970058517097715</c:v>
                </c:pt>
                <c:pt idx="51">
                  <c:v>0.99972423458633142</c:v>
                </c:pt>
                <c:pt idx="52">
                  <c:v>0.99974572508595116</c:v>
                </c:pt>
                <c:pt idx="53">
                  <c:v>0.99976528052387981</c:v>
                </c:pt>
                <c:pt idx="54">
                  <c:v>0.99978309876694982</c:v>
                </c:pt>
                <c:pt idx="55">
                  <c:v>0.99979935503213879</c:v>
                </c:pt>
                <c:pt idx="56">
                  <c:v>0.99981420475457539</c:v>
                </c:pt>
                <c:pt idx="57">
                  <c:v>0.99982778605786082</c:v>
                </c:pt>
                <c:pt idx="58">
                  <c:v>0.9998402218865764</c:v>
                </c:pt>
                <c:pt idx="59">
                  <c:v>0.99985162185113341</c:v>
                </c:pt>
                <c:pt idx="60">
                  <c:v>0.99986208382709751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4-4AC6-9F3A-FEFB258D09E2}"/>
            </c:ext>
          </c:extLst>
        </c:ser>
        <c:ser>
          <c:idx val="1"/>
          <c:order val="1"/>
          <c:tx>
            <c:strRef>
              <c:f>'1_製造業'!$C$9</c:f>
              <c:strCache>
                <c:ptCount val="1"/>
                <c:pt idx="0">
                  <c:v>被害モード2以上率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'1_製造業'!$A$10:$A$70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'1_製造業'!$C$10:$C$70</c:f>
              <c:numCache>
                <c:formatCode>General</c:formatCode>
                <c:ptCount val="61"/>
                <c:pt idx="0">
                  <c:v>0</c:v>
                </c:pt>
                <c:pt idx="1">
                  <c:v>8.683156555794368E-4</c:v>
                </c:pt>
                <c:pt idx="2">
                  <c:v>9.3085677794918671E-3</c:v>
                </c:pt>
                <c:pt idx="3">
                  <c:v>2.8878943585227329E-2</c:v>
                </c:pt>
                <c:pt idx="4">
                  <c:v>5.7709892760682169E-2</c:v>
                </c:pt>
                <c:pt idx="5">
                  <c:v>9.282300404544383E-2</c:v>
                </c:pt>
                <c:pt idx="6">
                  <c:v>0.13163109064118914</c:v>
                </c:pt>
                <c:pt idx="7">
                  <c:v>0.17219903801677516</c:v>
                </c:pt>
                <c:pt idx="8">
                  <c:v>0.21316842287538726</c:v>
                </c:pt>
                <c:pt idx="9">
                  <c:v>0.25362198359591814</c:v>
                </c:pt>
                <c:pt idx="10">
                  <c:v>0.29296184142540693</c:v>
                </c:pt>
                <c:pt idx="11">
                  <c:v>0.33081547488334218</c:v>
                </c:pt>
                <c:pt idx="12">
                  <c:v>0.36696707876405255</c:v>
                </c:pt>
                <c:pt idx="13">
                  <c:v>0.40130864168475455</c:v>
                </c:pt>
                <c:pt idx="14">
                  <c:v>0.43380544991337522</c:v>
                </c:pt>
                <c:pt idx="15">
                  <c:v>0.4644718828171972</c:v>
                </c:pt>
                <c:pt idx="16">
                  <c:v>0.49335447370498076</c:v>
                </c:pt>
                <c:pt idx="17">
                  <c:v>0.52052008144288386</c:v>
                </c:pt>
                <c:pt idx="18">
                  <c:v>0.54604765632091734</c:v>
                </c:pt>
                <c:pt idx="19">
                  <c:v>0.57002253670988479</c:v>
                </c:pt>
                <c:pt idx="20">
                  <c:v>0.59253253055789357</c:v>
                </c:pt>
                <c:pt idx="21">
                  <c:v>0.6136652572953718</c:v>
                </c:pt>
                <c:pt idx="22">
                  <c:v>0.63350638027349726</c:v>
                </c:pt>
                <c:pt idx="23">
                  <c:v>0.65213846796083219</c:v>
                </c:pt>
                <c:pt idx="24">
                  <c:v>0.6696402980118612</c:v>
                </c:pt>
                <c:pt idx="25">
                  <c:v>0.68608647182655436</c:v>
                </c:pt>
                <c:pt idx="26">
                  <c:v>0.7015472451128153</c:v>
                </c:pt>
                <c:pt idx="27">
                  <c:v>0.71608850691662118</c:v>
                </c:pt>
                <c:pt idx="28">
                  <c:v>0.72977185883436169</c:v>
                </c:pt>
                <c:pt idx="29">
                  <c:v>0.74265475992006535</c:v>
                </c:pt>
                <c:pt idx="30">
                  <c:v>0.75479071272146081</c:v>
                </c:pt>
                <c:pt idx="31">
                  <c:v>0.76622947303002531</c:v>
                </c:pt>
                <c:pt idx="32">
                  <c:v>0.77701727109348373</c:v>
                </c:pt>
                <c:pt idx="33">
                  <c:v>0.78719703577035294</c:v>
                </c:pt>
                <c:pt idx="34">
                  <c:v>0.79680861580170292</c:v>
                </c:pt>
                <c:pt idx="35">
                  <c:v>0.80588899431994032</c:v>
                </c:pt>
                <c:pt idx="36">
                  <c:v>0.81447249411309253</c:v>
                </c:pt>
                <c:pt idx="37">
                  <c:v>0.82259097216411015</c:v>
                </c:pt>
                <c:pt idx="38">
                  <c:v>0.83027400269585727</c:v>
                </c:pt>
                <c:pt idx="39">
                  <c:v>0.83754904845210765</c:v>
                </c:pt>
                <c:pt idx="40">
                  <c:v>0.844441620290449</c:v>
                </c:pt>
                <c:pt idx="41">
                  <c:v>0.85097542539640114</c:v>
                </c:pt>
                <c:pt idx="42">
                  <c:v>0.85717250458017091</c:v>
                </c:pt>
                <c:pt idx="43">
                  <c:v>0.86305335921088355</c:v>
                </c:pt>
                <c:pt idx="44">
                  <c:v>0.86863706839450161</c:v>
                </c:pt>
                <c:pt idx="45">
                  <c:v>0.87394139702321172</c:v>
                </c:pt>
                <c:pt idx="46">
                  <c:v>0.87898289532479223</c:v>
                </c:pt>
                <c:pt idx="47">
                  <c:v>0.88377699052696446</c:v>
                </c:pt>
                <c:pt idx="48">
                  <c:v>0.88833807122878639</c:v>
                </c:pt>
                <c:pt idx="49">
                  <c:v>0.89267956504225099</c:v>
                </c:pt>
                <c:pt idx="50">
                  <c:v>0.89681401003495587</c:v>
                </c:pt>
                <c:pt idx="51">
                  <c:v>0.90075312047077283</c:v>
                </c:pt>
                <c:pt idx="52">
                  <c:v>0.90450784731119227</c:v>
                </c:pt>
                <c:pt idx="53">
                  <c:v>0.90808843390627414</c:v>
                </c:pt>
                <c:pt idx="54">
                  <c:v>0.91150446727153622</c:v>
                </c:pt>
                <c:pt idx="55">
                  <c:v>0.91476492531601084</c:v>
                </c:pt>
                <c:pt idx="56">
                  <c:v>0.91787822035733246</c:v>
                </c:pt>
                <c:pt idx="57">
                  <c:v>0.92085223923220361</c:v>
                </c:pt>
                <c:pt idx="58">
                  <c:v>0.92369438028495976</c:v>
                </c:pt>
                <c:pt idx="59">
                  <c:v>0.92641158749319785</c:v>
                </c:pt>
                <c:pt idx="60">
                  <c:v>0.92901038196749108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44-4AC6-9F3A-FEFB258D09E2}"/>
            </c:ext>
          </c:extLst>
        </c:ser>
        <c:ser>
          <c:idx val="2"/>
          <c:order val="2"/>
          <c:tx>
            <c:strRef>
              <c:f>'1_製造業'!$D$9</c:f>
              <c:strCache>
                <c:ptCount val="1"/>
                <c:pt idx="0">
                  <c:v>被害モード3以上率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'1_製造業'!$A$10:$A$70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'1_製造業'!$D$10:$D$70</c:f>
              <c:numCache>
                <c:formatCode>General</c:formatCode>
                <c:ptCount val="61"/>
                <c:pt idx="0">
                  <c:v>0</c:v>
                </c:pt>
                <c:pt idx="1">
                  <c:v>1.3384552194387467E-5</c:v>
                </c:pt>
                <c:pt idx="2">
                  <c:v>3.1250133940329206E-4</c:v>
                </c:pt>
                <c:pt idx="3">
                  <c:v>1.5136765712482209E-3</c:v>
                </c:pt>
                <c:pt idx="4">
                  <c:v>4.1244511277273282E-3</c:v>
                </c:pt>
                <c:pt idx="5">
                  <c:v>8.4016108232613431E-3</c:v>
                </c:pt>
                <c:pt idx="6">
                  <c:v>1.4403058633130779E-2</c:v>
                </c:pt>
                <c:pt idx="7">
                  <c:v>2.2061170902217028E-2</c:v>
                </c:pt>
                <c:pt idx="8">
                  <c:v>3.1238771983616177E-2</c:v>
                </c:pt>
                <c:pt idx="9">
                  <c:v>4.1765944842968292E-2</c:v>
                </c:pt>
                <c:pt idx="10">
                  <c:v>5.3462657393593731E-2</c:v>
                </c:pt>
                <c:pt idx="11">
                  <c:v>6.615198125887442E-2</c:v>
                </c:pt>
                <c:pt idx="12">
                  <c:v>7.9667350159484687E-2</c:v>
                </c:pt>
                <c:pt idx="13">
                  <c:v>9.3856139589466522E-2</c:v>
                </c:pt>
                <c:pt idx="14">
                  <c:v>0.10858102639012059</c:v>
                </c:pt>
                <c:pt idx="15">
                  <c:v>0.12372004539341852</c:v>
                </c:pt>
                <c:pt idx="16">
                  <c:v>0.13916591398458597</c:v>
                </c:pt>
                <c:pt idx="17">
                  <c:v>0.15482497647026275</c:v>
                </c:pt>
                <c:pt idx="18">
                  <c:v>0.17061598237788381</c:v>
                </c:pt>
                <c:pt idx="19">
                  <c:v>0.18646882637643902</c:v>
                </c:pt>
                <c:pt idx="20">
                  <c:v>0.20232332344371018</c:v>
                </c:pt>
                <c:pt idx="21">
                  <c:v>0.21812805926657156</c:v>
                </c:pt>
                <c:pt idx="22">
                  <c:v>0.2338393351272389</c:v>
                </c:pt>
                <c:pt idx="23">
                  <c:v>0.24942021395197117</c:v>
                </c:pt>
                <c:pt idx="24">
                  <c:v>0.26483966677315673</c:v>
                </c:pt>
                <c:pt idx="25">
                  <c:v>0.28007181467058029</c:v>
                </c:pt>
                <c:pt idx="26">
                  <c:v>0.29509525909592638</c:v>
                </c:pt>
                <c:pt idx="27">
                  <c:v>0.30989249256967411</c:v>
                </c:pt>
                <c:pt idx="28">
                  <c:v>0.3244493815763102</c:v>
                </c:pt>
                <c:pt idx="29">
                  <c:v>0.33875471375730148</c:v>
                </c:pt>
                <c:pt idx="30">
                  <c:v>0.35279980201250782</c:v>
                </c:pt>
                <c:pt idx="31">
                  <c:v>0.36657813874533274</c:v>
                </c:pt>
                <c:pt idx="32">
                  <c:v>0.38008509414850322</c:v>
                </c:pt>
                <c:pt idx="33">
                  <c:v>0.39331765308050348</c:v>
                </c:pt>
                <c:pt idx="34">
                  <c:v>0.4062741857015405</c:v>
                </c:pt>
                <c:pt idx="35">
                  <c:v>0.41895424760921413</c:v>
                </c:pt>
                <c:pt idx="36">
                  <c:v>0.43135840573225726</c:v>
                </c:pt>
                <c:pt idx="37">
                  <c:v>0.44348808670499196</c:v>
                </c:pt>
                <c:pt idx="38">
                  <c:v>0.45534544485754852</c:v>
                </c:pt>
                <c:pt idx="39">
                  <c:v>0.46693324732079672</c:v>
                </c:pt>
                <c:pt idx="40">
                  <c:v>0.47825477406466532</c:v>
                </c:pt>
                <c:pt idx="41">
                  <c:v>0.48931373096839281</c:v>
                </c:pt>
                <c:pt idx="42">
                  <c:v>0.50011417426569471</c:v>
                </c:pt>
                <c:pt idx="43">
                  <c:v>0.51066044492094131</c:v>
                </c:pt>
                <c:pt idx="44">
                  <c:v>0.52095711167798475</c:v>
                </c:pt>
                <c:pt idx="45">
                  <c:v>0.53100892168475322</c:v>
                </c:pt>
                <c:pt idx="46">
                  <c:v>0.54082075773713689</c:v>
                </c:pt>
                <c:pt idx="47">
                  <c:v>0.55039760130781357</c:v>
                </c:pt>
                <c:pt idx="48">
                  <c:v>0.55974450063183245</c:v>
                </c:pt>
                <c:pt idx="49">
                  <c:v>0.56886654321313779</c:v>
                </c:pt>
                <c:pt idx="50">
                  <c:v>0.57776883219656705</c:v>
                </c:pt>
                <c:pt idx="51">
                  <c:v>0.58645646611978752</c:v>
                </c:pt>
                <c:pt idx="52">
                  <c:v>0.5949345216205536</c:v>
                </c:pt>
                <c:pt idx="53">
                  <c:v>0.60320803872772266</c:v>
                </c:pt>
                <c:pt idx="54">
                  <c:v>0.61128200841074376</c:v>
                </c:pt>
                <c:pt idx="55">
                  <c:v>0.61916136210268924</c:v>
                </c:pt>
                <c:pt idx="56">
                  <c:v>0.62685096294714671</c:v>
                </c:pt>
                <c:pt idx="57">
                  <c:v>0.63435559855005341</c:v>
                </c:pt>
                <c:pt idx="58">
                  <c:v>0.64167997504448238</c:v>
                </c:pt>
                <c:pt idx="59">
                  <c:v>0.64882871229991401</c:v>
                </c:pt>
                <c:pt idx="60">
                  <c:v>0.65580634012813122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44-4AC6-9F3A-FEFB258D0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34234"/>
        <c:axId val="27238015"/>
      </c:scatterChart>
      <c:valAx>
        <c:axId val="45434234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7238015"/>
        <c:crosses val="autoZero"/>
        <c:crossBetween val="midCat"/>
      </c:valAx>
      <c:valAx>
        <c:axId val="2723801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被害モード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以上となる確率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54342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製造業 損失率曲線（被害区分の最大値）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'1_製造業'!$I$9</c:f>
              <c:strCache>
                <c:ptCount val="1"/>
                <c:pt idx="0">
                  <c:v>損失率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'1_製造業'!$A$10:$A$70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'1_製造業'!$I$10:$I$70</c:f>
              <c:numCache>
                <c:formatCode>0.0%</c:formatCode>
                <c:ptCount val="61"/>
                <c:pt idx="0">
                  <c:v>0</c:v>
                </c:pt>
                <c:pt idx="1">
                  <c:v>4.2142906050541919E-2</c:v>
                </c:pt>
                <c:pt idx="2">
                  <c:v>0.10917913540246343</c:v>
                </c:pt>
                <c:pt idx="3">
                  <c:v>0.15967849253118849</c:v>
                </c:pt>
                <c:pt idx="4">
                  <c:v>0.19744629826913299</c:v>
                </c:pt>
                <c:pt idx="5">
                  <c:v>0.22764058467584655</c:v>
                </c:pt>
                <c:pt idx="6">
                  <c:v>0.25338449978022698</c:v>
                </c:pt>
                <c:pt idx="7">
                  <c:v>0.27641547192806293</c:v>
                </c:pt>
                <c:pt idx="8">
                  <c:v>0.29769492108177431</c:v>
                </c:pt>
                <c:pt idx="9">
                  <c:v>0.31776094213541389</c:v>
                </c:pt>
                <c:pt idx="10">
                  <c:v>0.33691912229842741</c:v>
                </c:pt>
                <c:pt idx="11">
                  <c:v>0.35534564215712072</c:v>
                </c:pt>
                <c:pt idx="12">
                  <c:v>0.37314379534911024</c:v>
                </c:pt>
                <c:pt idx="13">
                  <c:v>0.39037551050392955</c:v>
                </c:pt>
                <c:pt idx="14">
                  <c:v>0.40707920574555401</c:v>
                </c:pt>
                <c:pt idx="15">
                  <c:v>0.42328002226533123</c:v>
                </c:pt>
                <c:pt idx="16">
                  <c:v>0.43899573136995274</c:v>
                </c:pt>
                <c:pt idx="17">
                  <c:v>0.45424014774296795</c:v>
                </c:pt>
                <c:pt idx="18">
                  <c:v>0.46902508834714851</c:v>
                </c:pt>
                <c:pt idx="19">
                  <c:v>0.48336147657412276</c:v>
                </c:pt>
                <c:pt idx="20">
                  <c:v>0.49725994253245642</c:v>
                </c:pt>
                <c:pt idx="21">
                  <c:v>0.5107311271856585</c:v>
                </c:pt>
                <c:pt idx="22">
                  <c:v>0.52378581432113913</c:v>
                </c:pt>
                <c:pt idx="23">
                  <c:v>0.53643496470266283</c:v>
                </c:pt>
                <c:pt idx="24">
                  <c:v>0.548689697014627</c:v>
                </c:pt>
                <c:pt idx="25">
                  <c:v>0.56056124222562098</c:v>
                </c:pt>
                <c:pt idx="26">
                  <c:v>0.57206088706520042</c:v>
                </c:pt>
                <c:pt idx="27">
                  <c:v>0.58319991564163498</c:v>
                </c:pt>
                <c:pt idx="28">
                  <c:v>0.59398955416874377</c:v>
                </c:pt>
                <c:pt idx="29">
                  <c:v>0.60444092131279437</c:v>
                </c:pt>
                <c:pt idx="30">
                  <c:v>0.61456498520261049</c:v>
                </c:pt>
                <c:pt idx="31">
                  <c:v>0.62437252728979631</c:v>
                </c:pt>
                <c:pt idx="32">
                  <c:v>0.63387411276699401</c:v>
                </c:pt>
                <c:pt idx="33">
                  <c:v>0.64308006700433362</c:v>
                </c:pt>
                <c:pt idx="34">
                  <c:v>0.65200045735632883</c:v>
                </c:pt>
                <c:pt idx="35">
                  <c:v>0.66064507966635344</c:v>
                </c:pt>
                <c:pt idx="36">
                  <c:v>0.66902344881781217</c:v>
                </c:pt>
                <c:pt idx="37">
                  <c:v>0.67714479272813588</c:v>
                </c:pt>
                <c:pt idx="38">
                  <c:v>0.68501804924028598</c:v>
                </c:pt>
                <c:pt idx="39">
                  <c:v>0.69265186542837431</c:v>
                </c:pt>
                <c:pt idx="40">
                  <c:v>0.70005459889468313</c:v>
                </c:pt>
                <c:pt idx="41">
                  <c:v>0.70723432069215686</c:v>
                </c:pt>
                <c:pt idx="42">
                  <c:v>0.71419881955815978</c:v>
                </c:pt>
                <c:pt idx="43">
                  <c:v>0.72095560719147322</c:v>
                </c:pt>
                <c:pt idx="44">
                  <c:v>0.72751192434518352</c:v>
                </c:pt>
                <c:pt idx="45">
                  <c:v>0.73387474754360249</c:v>
                </c:pt>
                <c:pt idx="46">
                  <c:v>0.74005079626206782</c:v>
                </c:pt>
                <c:pt idx="47">
                  <c:v>0.74604654043490959</c:v>
                </c:pt>
                <c:pt idx="48">
                  <c:v>0.75186820817949818</c:v>
                </c:pt>
                <c:pt idx="49">
                  <c:v>0.7575217936436085</c:v>
                </c:pt>
                <c:pt idx="50">
                  <c:v>0.76301306489976684</c:v>
                </c:pt>
                <c:pt idx="51">
                  <c:v>0.76834757182416979</c:v>
                </c:pt>
                <c:pt idx="52">
                  <c:v>0.77353065390956266</c:v>
                </c:pt>
                <c:pt idx="53">
                  <c:v>0.77856744797139976</c:v>
                </c:pt>
                <c:pt idx="54">
                  <c:v>0.78346289571499339</c:v>
                </c:pt>
                <c:pt idx="55">
                  <c:v>0.788221751138382</c:v>
                </c:pt>
                <c:pt idx="56">
                  <c:v>0.79284858775155032</c:v>
                </c:pt>
                <c:pt idx="57">
                  <c:v>0.79734780559754281</c:v>
                </c:pt>
                <c:pt idx="58">
                  <c:v>0.80172363806512525</c:v>
                </c:pt>
                <c:pt idx="59">
                  <c:v>0.80598015848603977</c:v>
                </c:pt>
                <c:pt idx="60">
                  <c:v>0.81012128651271276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9-4EDD-B78F-A9EE89DE3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95947"/>
        <c:axId val="8024760"/>
      </c:scatterChart>
      <c:valAx>
        <c:axId val="23995947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024760"/>
        <c:crosses val="autoZero"/>
        <c:crossBetween val="midCat"/>
      </c:valAx>
      <c:valAx>
        <c:axId val="802476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損失率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399594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生活関連型産業 フラジリティ曲線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'2_生活関連型産業'!$B$9</c:f>
              <c:strCache>
                <c:ptCount val="1"/>
                <c:pt idx="0">
                  <c:v>被害モード1以上率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'2_生活関連型産業'!$A$10:$A$70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'2_生活関連型産業'!$B$10:$B$70</c:f>
              <c:numCache>
                <c:formatCode>General</c:formatCode>
                <c:ptCount val="61"/>
                <c:pt idx="0">
                  <c:v>0</c:v>
                </c:pt>
                <c:pt idx="1">
                  <c:v>0.12449008270924385</c:v>
                </c:pt>
                <c:pt idx="2">
                  <c:v>0.31565935573995318</c:v>
                </c:pt>
                <c:pt idx="3">
                  <c:v>0.46564730257038101</c:v>
                </c:pt>
                <c:pt idx="4">
                  <c:v>0.57655452394842199</c:v>
                </c:pt>
                <c:pt idx="5">
                  <c:v>0.65899838338345662</c:v>
                </c:pt>
                <c:pt idx="6">
                  <c:v>0.72131160079951695</c:v>
                </c:pt>
                <c:pt idx="7">
                  <c:v>0.76925730516700497</c:v>
                </c:pt>
                <c:pt idx="8">
                  <c:v>0.8067673334103358</c:v>
                </c:pt>
                <c:pt idx="9">
                  <c:v>0.8365550870993026</c:v>
                </c:pt>
                <c:pt idx="10">
                  <c:v>0.86052686713637283</c:v>
                </c:pt>
                <c:pt idx="11">
                  <c:v>0.88004737580438541</c:v>
                </c:pt>
                <c:pt idx="12">
                  <c:v>0.89611132742555666</c:v>
                </c:pt>
                <c:pt idx="13">
                  <c:v>0.90945591954083571</c:v>
                </c:pt>
                <c:pt idx="14">
                  <c:v>0.92063586005617659</c:v>
                </c:pt>
                <c:pt idx="15">
                  <c:v>0.93007434295927449</c:v>
                </c:pt>
                <c:pt idx="16">
                  <c:v>0.93809830401971239</c:v>
                </c:pt>
                <c:pt idx="17">
                  <c:v>0.94496321601029754</c:v>
                </c:pt>
                <c:pt idx="18">
                  <c:v>0.95087080081554343</c:v>
                </c:pt>
                <c:pt idx="19">
                  <c:v>0.95598186538713437</c:v>
                </c:pt>
                <c:pt idx="20">
                  <c:v>0.96042572847549756</c:v>
                </c:pt>
                <c:pt idx="21">
                  <c:v>0.96430722913893041</c:v>
                </c:pt>
                <c:pt idx="22">
                  <c:v>0.96771199683045628</c:v>
                </c:pt>
                <c:pt idx="23">
                  <c:v>0.97071045611494544</c:v>
                </c:pt>
                <c:pt idx="24">
                  <c:v>0.97336089963445083</c:v>
                </c:pt>
                <c:pt idx="25">
                  <c:v>0.97571186756173545</c:v>
                </c:pt>
                <c:pt idx="26">
                  <c:v>0.97780400566747672</c:v>
                </c:pt>
                <c:pt idx="27">
                  <c:v>0.97967152772246913</c:v>
                </c:pt>
                <c:pt idx="28">
                  <c:v>0.98134337500341817</c:v>
                </c:pt>
                <c:pt idx="29">
                  <c:v>0.98284414201246717</c:v>
                </c:pt>
                <c:pt idx="30">
                  <c:v>0.98419482035924377</c:v>
                </c:pt>
                <c:pt idx="31">
                  <c:v>0.9854134001846877</c:v>
                </c:pt>
                <c:pt idx="32">
                  <c:v>0.98651535921534783</c:v>
                </c:pt>
                <c:pt idx="33">
                  <c:v>0.98751406261065255</c:v>
                </c:pt>
                <c:pt idx="34">
                  <c:v>0.98842109156011815</c:v>
                </c:pt>
                <c:pt idx="35">
                  <c:v>0.98924651464504332</c:v>
                </c:pt>
                <c:pt idx="36">
                  <c:v>0.98999911297171184</c:v>
                </c:pt>
                <c:pt idx="37">
                  <c:v>0.99068656777298958</c:v>
                </c:pt>
                <c:pt idx="38">
                  <c:v>0.99131561738912566</c:v>
                </c:pt>
                <c:pt idx="39">
                  <c:v>0.99189218914909594</c:v>
                </c:pt>
                <c:pt idx="40">
                  <c:v>0.99242151058649741</c:v>
                </c:pt>
                <c:pt idx="41">
                  <c:v>0.99290820356832676</c:v>
                </c:pt>
                <c:pt idx="42">
                  <c:v>0.9933563642379879</c:v>
                </c:pt>
                <c:pt idx="43">
                  <c:v>0.99376963113551531</c:v>
                </c:pt>
                <c:pt idx="44">
                  <c:v>0.99415124342778349</c:v>
                </c:pt>
                <c:pt idx="45">
                  <c:v>0.99450409083607783</c:v>
                </c:pt>
                <c:pt idx="46">
                  <c:v>0.99483075656984743</c:v>
                </c:pt>
                <c:pt idx="47">
                  <c:v>0.99513355434986217</c:v>
                </c:pt>
                <c:pt idx="48">
                  <c:v>0.99541456042052034</c:v>
                </c:pt>
                <c:pt idx="49">
                  <c:v>0.99567564130125663</c:v>
                </c:pt>
                <c:pt idx="50">
                  <c:v>0.99591847790422605</c:v>
                </c:pt>
                <c:pt idx="51">
                  <c:v>0.99614458654445703</c:v>
                </c:pt>
                <c:pt idx="52">
                  <c:v>0.99635533728530068</c:v>
                </c:pt>
                <c:pt idx="53">
                  <c:v>0.99655196999296602</c:v>
                </c:pt>
                <c:pt idx="54">
                  <c:v>0.99673560841655606</c:v>
                </c:pt>
                <c:pt idx="55">
                  <c:v>0.99690727256219913</c:v>
                </c:pt>
                <c:pt idx="56">
                  <c:v>0.99706788958988457</c:v>
                </c:pt>
                <c:pt idx="57">
                  <c:v>0.99721830342808548</c:v>
                </c:pt>
                <c:pt idx="58">
                  <c:v>0.99735928327305368</c:v>
                </c:pt>
                <c:pt idx="59">
                  <c:v>0.99749153111590161</c:v>
                </c:pt>
                <c:pt idx="60">
                  <c:v>0.99761568842048221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0-4B55-9B7E-0BEFF14B564D}"/>
            </c:ext>
          </c:extLst>
        </c:ser>
        <c:ser>
          <c:idx val="1"/>
          <c:order val="1"/>
          <c:tx>
            <c:strRef>
              <c:f>'2_生活関連型産業'!$C$9</c:f>
              <c:strCache>
                <c:ptCount val="1"/>
                <c:pt idx="0">
                  <c:v>被害モード2以上率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'2_生活関連型産業'!$A$10:$A$70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'2_生活関連型産業'!$C$10:$C$70</c:f>
              <c:numCache>
                <c:formatCode>General</c:formatCode>
                <c:ptCount val="61"/>
                <c:pt idx="0">
                  <c:v>0</c:v>
                </c:pt>
                <c:pt idx="1">
                  <c:v>4.4113440922884878E-3</c:v>
                </c:pt>
                <c:pt idx="2">
                  <c:v>2.583391734356533E-2</c:v>
                </c:pt>
                <c:pt idx="3">
                  <c:v>6.0302936173083889E-2</c:v>
                </c:pt>
                <c:pt idx="4">
                  <c:v>0.10152098547010803</c:v>
                </c:pt>
                <c:pt idx="5">
                  <c:v>0.14541824973674886</c:v>
                </c:pt>
                <c:pt idx="6">
                  <c:v>0.18962551809965261</c:v>
                </c:pt>
                <c:pt idx="7">
                  <c:v>0.23281238717611816</c:v>
                </c:pt>
                <c:pt idx="8">
                  <c:v>0.27426173464082937</c:v>
                </c:pt>
                <c:pt idx="9">
                  <c:v>0.31361771138413319</c:v>
                </c:pt>
                <c:pt idx="10">
                  <c:v>0.35073758003654065</c:v>
                </c:pt>
                <c:pt idx="11">
                  <c:v>0.3856037636352489</c:v>
                </c:pt>
                <c:pt idx="12">
                  <c:v>0.41827098756927994</c:v>
                </c:pt>
                <c:pt idx="13">
                  <c:v>0.44883418312619516</c:v>
                </c:pt>
                <c:pt idx="14">
                  <c:v>0.47740887857356917</c:v>
                </c:pt>
                <c:pt idx="15">
                  <c:v>0.50411921658969328</c:v>
                </c:pt>
                <c:pt idx="16">
                  <c:v>0.52909068919535873</c:v>
                </c:pt>
                <c:pt idx="17">
                  <c:v>0.55244581930428605</c:v>
                </c:pt>
                <c:pt idx="18">
                  <c:v>0.57430169404998399</c:v>
                </c:pt>
                <c:pt idx="19">
                  <c:v>0.59476866397832873</c:v>
                </c:pt>
                <c:pt idx="20">
                  <c:v>0.61394977367316894</c:v>
                </c:pt>
                <c:pt idx="21">
                  <c:v>0.63194064633517633</c:v>
                </c:pt>
                <c:pt idx="22">
                  <c:v>0.64882964407166943</c:v>
                </c:pt>
                <c:pt idx="23">
                  <c:v>0.66469818910417966</c:v>
                </c:pt>
                <c:pt idx="24">
                  <c:v>0.67962117204608641</c:v>
                </c:pt>
                <c:pt idx="25">
                  <c:v>0.69366740002107685</c:v>
                </c:pt>
                <c:pt idx="26">
                  <c:v>0.70690005478937323</c:v>
                </c:pt>
                <c:pt idx="27">
                  <c:v>0.71937714245183404</c:v>
                </c:pt>
                <c:pt idx="28">
                  <c:v>0.73115192377918192</c:v>
                </c:pt>
                <c:pt idx="29">
                  <c:v>0.74227331910195538</c:v>
                </c:pt>
                <c:pt idx="30">
                  <c:v>0.75278628486959742</c:v>
                </c:pt>
                <c:pt idx="31">
                  <c:v>0.76273216101947605</c:v>
                </c:pt>
                <c:pt idx="32">
                  <c:v>0.77214898956989675</c:v>
                </c:pt>
                <c:pt idx="33">
                  <c:v>0.78107180561980649</c:v>
                </c:pt>
                <c:pt idx="34">
                  <c:v>0.7895329023723836</c:v>
                </c:pt>
                <c:pt idx="35">
                  <c:v>0.79756207201476093</c:v>
                </c:pt>
                <c:pt idx="36">
                  <c:v>0.8051868243589746</c:v>
                </c:pt>
                <c:pt idx="37">
                  <c:v>0.81243258513190375</c:v>
                </c:pt>
                <c:pt idx="38">
                  <c:v>0.81932287572947371</c:v>
                </c:pt>
                <c:pt idx="39">
                  <c:v>0.82587947614608437</c:v>
                </c:pt>
                <c:pt idx="40">
                  <c:v>0.83212257266968093</c:v>
                </c:pt>
                <c:pt idx="41">
                  <c:v>0.83807089180620276</c:v>
                </c:pt>
                <c:pt idx="42">
                  <c:v>0.84374182177087376</c:v>
                </c:pt>
                <c:pt idx="43">
                  <c:v>0.84915152276196415</c:v>
                </c:pt>
                <c:pt idx="44">
                  <c:v>0.85431502711758645</c:v>
                </c:pt>
                <c:pt idx="45">
                  <c:v>0.85924633034908993</c:v>
                </c:pt>
                <c:pt idx="46">
                  <c:v>0.86395847394614589</c:v>
                </c:pt>
                <c:pt idx="47">
                  <c:v>0.86846362075872785</c:v>
                </c:pt>
                <c:pt idx="48">
                  <c:v>0.87277312367961568</c:v>
                </c:pt>
                <c:pt idx="49">
                  <c:v>0.8768975882773391</c:v>
                </c:pt>
                <c:pt idx="50">
                  <c:v>0.88084692996309144</c:v>
                </c:pt>
                <c:pt idx="51">
                  <c:v>0.88463042621549515</c:v>
                </c:pt>
                <c:pt idx="52">
                  <c:v>0.88825676433360801</c:v>
                </c:pt>
                <c:pt idx="53">
                  <c:v>0.89173408514063746</c:v>
                </c:pt>
                <c:pt idx="54">
                  <c:v>0.89507002301794625</c:v>
                </c:pt>
                <c:pt idx="55">
                  <c:v>0.89827174261056431</c:v>
                </c:pt>
                <c:pt idx="56">
                  <c:v>0.9013459725111177</c:v>
                </c:pt>
                <c:pt idx="57">
                  <c:v>0.90429903619839869</c:v>
                </c:pt>
                <c:pt idx="58">
                  <c:v>0.90713688047936536</c:v>
                </c:pt>
                <c:pt idx="59">
                  <c:v>0.90986510165880918</c:v>
                </c:pt>
                <c:pt idx="60">
                  <c:v>0.91248896963895776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30-4B55-9B7E-0BEFF14B564D}"/>
            </c:ext>
          </c:extLst>
        </c:ser>
        <c:ser>
          <c:idx val="2"/>
          <c:order val="2"/>
          <c:tx>
            <c:strRef>
              <c:f>'2_生活関連型産業'!$D$9</c:f>
              <c:strCache>
                <c:ptCount val="1"/>
                <c:pt idx="0">
                  <c:v>被害モード3以上率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'2_生活関連型産業'!$A$10:$A$70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'2_生活関連型産業'!$D$10:$D$70</c:f>
              <c:numCache>
                <c:formatCode>General</c:formatCode>
                <c:ptCount val="61"/>
                <c:pt idx="0">
                  <c:v>0</c:v>
                </c:pt>
                <c:pt idx="1">
                  <c:v>4.8016383984080774E-5</c:v>
                </c:pt>
                <c:pt idx="2">
                  <c:v>6.2450657098977601E-4</c:v>
                </c:pt>
                <c:pt idx="3">
                  <c:v>2.2999850320529628E-3</c:v>
                </c:pt>
                <c:pt idx="4">
                  <c:v>5.3172358166884105E-3</c:v>
                </c:pt>
                <c:pt idx="5">
                  <c:v>9.6977296608489021E-3</c:v>
                </c:pt>
                <c:pt idx="6">
                  <c:v>1.5354216704977814E-2</c:v>
                </c:pt>
                <c:pt idx="7">
                  <c:v>2.2153769225889412E-2</c:v>
                </c:pt>
                <c:pt idx="8">
                  <c:v>2.9950096357752361E-2</c:v>
                </c:pt>
                <c:pt idx="9">
                  <c:v>3.8599456093684745E-2</c:v>
                </c:pt>
                <c:pt idx="10">
                  <c:v>4.7968018846533365E-2</c:v>
                </c:pt>
                <c:pt idx="11">
                  <c:v>5.7934799023904873E-2</c:v>
                </c:pt>
                <c:pt idx="12">
                  <c:v>6.8392314122731085E-2</c:v>
                </c:pt>
                <c:pt idx="13">
                  <c:v>7.9246114543051679E-2</c:v>
                </c:pt>
                <c:pt idx="14">
                  <c:v>9.0413793019388025E-2</c:v>
                </c:pt>
                <c:pt idx="15">
                  <c:v>0.10182379722486765</c:v>
                </c:pt>
                <c:pt idx="16">
                  <c:v>0.11341421464871308</c:v>
                </c:pt>
                <c:pt idx="17">
                  <c:v>0.12513161452270813</c:v>
                </c:pt>
                <c:pt idx="18">
                  <c:v>0.13692998546478632</c:v>
                </c:pt>
                <c:pt idx="19">
                  <c:v>0.14876978251056241</c:v>
                </c:pt>
                <c:pt idx="20">
                  <c:v>0.16061708397314642</c:v>
                </c:pt>
                <c:pt idx="21">
                  <c:v>0.17244285192323802</c:v>
                </c:pt>
                <c:pt idx="22">
                  <c:v>0.18422228710140207</c:v>
                </c:pt>
                <c:pt idx="23">
                  <c:v>0.19593426811016318</c:v>
                </c:pt>
                <c:pt idx="24">
                  <c:v>0.20756086484363412</c:v>
                </c:pt>
                <c:pt idx="25">
                  <c:v>0.21908691676080133</c:v>
                </c:pt>
                <c:pt idx="26">
                  <c:v>0.23049966749260173</c:v>
                </c:pt>
                <c:pt idx="27">
                  <c:v>0.24178844822469703</c:v>
                </c:pt>
                <c:pt idx="28">
                  <c:v>0.25294440322772149</c:v>
                </c:pt>
                <c:pt idx="29">
                  <c:v>0.26396025177008942</c:v>
                </c:pt>
                <c:pt idx="30">
                  <c:v>0.27483008142626442</c:v>
                </c:pt>
                <c:pt idx="31">
                  <c:v>0.28554916848107958</c:v>
                </c:pt>
                <c:pt idx="32">
                  <c:v>0.29611382173124934</c:v>
                </c:pt>
                <c:pt idx="33">
                  <c:v>0.30652124650543566</c:v>
                </c:pt>
                <c:pt idx="34">
                  <c:v>0.31676942617241288</c:v>
                </c:pt>
                <c:pt idx="35">
                  <c:v>0.32685701879165885</c:v>
                </c:pt>
                <c:pt idx="36">
                  <c:v>0.3367832668903214</c:v>
                </c:pt>
                <c:pt idx="37">
                  <c:v>0.34654791863251344</c:v>
                </c:pt>
                <c:pt idx="38">
                  <c:v>0.35615115888807825</c:v>
                </c:pt>
                <c:pt idx="39">
                  <c:v>0.36559354891417351</c:v>
                </c:pt>
                <c:pt idx="40">
                  <c:v>0.37487597353946472</c:v>
                </c:pt>
                <c:pt idx="41">
                  <c:v>0.38399959489172925</c:v>
                </c:pt>
                <c:pt idx="42">
                  <c:v>0.39296581183907259</c:v>
                </c:pt>
                <c:pt idx="43">
                  <c:v>0.40177622442595085</c:v>
                </c:pt>
                <c:pt idx="44">
                  <c:v>0.41043260268047621</c:v>
                </c:pt>
                <c:pt idx="45">
                  <c:v>0.41893685925143809</c:v>
                </c:pt>
                <c:pt idx="46">
                  <c:v>0.42729102540399949</c:v>
                </c:pt>
                <c:pt idx="47">
                  <c:v>0.43549722996384749</c:v>
                </c:pt>
                <c:pt idx="48">
                  <c:v>0.44355768085206532</c:v>
                </c:pt>
                <c:pt idx="49">
                  <c:v>0.45147464889837807</c:v>
                </c:pt>
                <c:pt idx="50">
                  <c:v>0.45925045365970835</c:v>
                </c:pt>
                <c:pt idx="51">
                  <c:v>0.46688745100502893</c:v>
                </c:pt>
                <c:pt idx="52">
                  <c:v>0.47438802225706644</c:v>
                </c:pt>
                <c:pt idx="53">
                  <c:v>0.48175456470710126</c:v>
                </c:pt>
                <c:pt idx="54">
                  <c:v>0.48898948334147962</c:v>
                </c:pt>
                <c:pt idx="55">
                  <c:v>0.49609518363794197</c:v>
                </c:pt>
                <c:pt idx="56">
                  <c:v>0.5030740653068938</c:v>
                </c:pt>
                <c:pt idx="57">
                  <c:v>0.50992851686759399</c:v>
                </c:pt>
                <c:pt idx="58">
                  <c:v>0.51666091096225841</c:v>
                </c:pt>
                <c:pt idx="59">
                  <c:v>0.52327360032245518</c:v>
                </c:pt>
                <c:pt idx="60">
                  <c:v>0.52976891431216178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30-4B55-9B7E-0BEFF14B5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82276"/>
        <c:axId val="69266485"/>
      </c:scatterChart>
      <c:valAx>
        <c:axId val="66282276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浸水深(cm)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9266485"/>
        <c:crosses val="autoZero"/>
        <c:crossBetween val="midCat"/>
      </c:valAx>
      <c:valAx>
        <c:axId val="6926648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被害モードk以上となる確率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62822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生活関連型産業 損失率曲線（被害区分の最大値）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'2_生活関連型産業'!$I$9</c:f>
              <c:strCache>
                <c:ptCount val="1"/>
                <c:pt idx="0">
                  <c:v>損失率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'2_生活関連型産業'!$A$10:$A$70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'2_生活関連型産業'!$I$10:$I$70</c:f>
              <c:numCache>
                <c:formatCode>0.0%</c:formatCode>
                <c:ptCount val="61"/>
                <c:pt idx="0">
                  <c:v>0</c:v>
                </c:pt>
                <c:pt idx="1">
                  <c:v>3.2249364892375121E-2</c:v>
                </c:pt>
                <c:pt idx="2">
                  <c:v>8.5685571556374518E-2</c:v>
                </c:pt>
                <c:pt idx="3">
                  <c:v>0.13263755220189272</c:v>
                </c:pt>
                <c:pt idx="4">
                  <c:v>0.17217749526297671</c:v>
                </c:pt>
                <c:pt idx="5">
                  <c:v>0.20595302311047581</c:v>
                </c:pt>
                <c:pt idx="6">
                  <c:v>0.23541138807728132</c:v>
                </c:pt>
                <c:pt idx="7">
                  <c:v>0.26159430769872549</c:v>
                </c:pt>
                <c:pt idx="8">
                  <c:v>0.28523231519166747</c:v>
                </c:pt>
                <c:pt idx="9">
                  <c:v>0.30684292766770133</c:v>
                </c:pt>
                <c:pt idx="10">
                  <c:v>0.32680012121649504</c:v>
                </c:pt>
                <c:pt idx="11">
                  <c:v>0.34538018437186102</c:v>
                </c:pt>
                <c:pt idx="12">
                  <c:v>0.36279173581007473</c:v>
                </c:pt>
                <c:pt idx="13">
                  <c:v>0.37919558293828354</c:v>
                </c:pt>
                <c:pt idx="14">
                  <c:v>0.39471808116713047</c:v>
                </c:pt>
                <c:pt idx="15">
                  <c:v>0.40946028849967575</c:v>
                </c:pt>
                <c:pt idx="16">
                  <c:v>0.42350435562812433</c:v>
                </c:pt>
                <c:pt idx="17">
                  <c:v>0.43691806608999995</c:v>
                </c:pt>
                <c:pt idx="18">
                  <c:v>0.44975811644877506</c:v>
                </c:pt>
                <c:pt idx="19">
                  <c:v>0.46207252359664697</c:v>
                </c:pt>
                <c:pt idx="20">
                  <c:v>0.47390241752373985</c:v>
                </c:pt>
                <c:pt idx="21">
                  <c:v>0.48528339483014571</c:v>
                </c:pt>
                <c:pt idx="22">
                  <c:v>0.4962465537762325</c:v>
                </c:pt>
                <c:pt idx="23">
                  <c:v>0.50681929535986292</c:v>
                </c:pt>
                <c:pt idx="24">
                  <c:v>0.51702595034195142</c:v>
                </c:pt>
                <c:pt idx="25">
                  <c:v>0.52688827527610371</c:v>
                </c:pt>
                <c:pt idx="26">
                  <c:v>0.53642584886051337</c:v>
                </c:pt>
                <c:pt idx="27">
                  <c:v>0.54565639165592428</c:v>
                </c:pt>
                <c:pt idx="28">
                  <c:v>0.55459602630951077</c:v>
                </c:pt>
                <c:pt idx="29">
                  <c:v>0.56325949116365037</c:v>
                </c:pt>
                <c:pt idx="30">
                  <c:v>0.57166031702034248</c:v>
                </c:pt>
                <c:pt idx="31">
                  <c:v>0.5798109745415807</c:v>
                </c:pt>
                <c:pt idx="32">
                  <c:v>0.58772299806193584</c:v>
                </c:pt>
                <c:pt idx="33">
                  <c:v>0.59540709031033257</c:v>
                </c:pt>
                <c:pt idx="34">
                  <c:v>0.60287321156933182</c:v>
                </c:pt>
                <c:pt idx="35">
                  <c:v>0.61013065606078043</c:v>
                </c:pt>
                <c:pt idx="36">
                  <c:v>0.61718811777783222</c:v>
                </c:pt>
                <c:pt idx="37">
                  <c:v>0.62405374754248011</c:v>
                </c:pt>
                <c:pt idx="38">
                  <c:v>0.63073520272368899</c:v>
                </c:pt>
                <c:pt idx="39">
                  <c:v>0.63723969078088183</c:v>
                </c:pt>
                <c:pt idx="40">
                  <c:v>0.64357400758377703</c:v>
                </c:pt>
                <c:pt idx="41">
                  <c:v>0.64974457128949692</c:v>
                </c:pt>
                <c:pt idx="42">
                  <c:v>0.65575745242175176</c:v>
                </c:pt>
                <c:pt idx="43">
                  <c:v>0.66161840068734534</c:v>
                </c:pt>
                <c:pt idx="44">
                  <c:v>0.66733286897658062</c:v>
                </c:pt>
                <c:pt idx="45">
                  <c:v>0.67290603492201095</c:v>
                </c:pt>
                <c:pt idx="46">
                  <c:v>0.67834282033099802</c:v>
                </c:pt>
                <c:pt idx="47">
                  <c:v>0.68364790875907122</c:v>
                </c:pt>
                <c:pt idx="48">
                  <c:v>0.68882576145106666</c:v>
                </c:pt>
                <c:pt idx="49">
                  <c:v>0.69388063184383797</c:v>
                </c:pt>
                <c:pt idx="50">
                  <c:v>0.69881657879668357</c:v>
                </c:pt>
                <c:pt idx="51">
                  <c:v>0.70363747869250248</c:v>
                </c:pt>
                <c:pt idx="52">
                  <c:v>0.70834703653326037</c:v>
                </c:pt>
                <c:pt idx="53">
                  <c:v>0.7129487961369515</c:v>
                </c:pt>
                <c:pt idx="54">
                  <c:v>0.71744614952936536</c:v>
                </c:pt>
                <c:pt idx="55">
                  <c:v>0.72184234561216187</c:v>
                </c:pt>
                <c:pt idx="56">
                  <c:v>0.72614049817869741</c:v>
                </c:pt>
                <c:pt idx="57">
                  <c:v>0.7303435933404181</c:v>
                </c:pt>
                <c:pt idx="58">
                  <c:v>0.73445449641923399</c:v>
                </c:pt>
                <c:pt idx="59">
                  <c:v>0.73847595835490532</c:v>
                </c:pt>
                <c:pt idx="60">
                  <c:v>0.74241062167094085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0-44D3-AA3F-7F7105EC7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4704"/>
        <c:axId val="4250301"/>
      </c:scatterChart>
      <c:valAx>
        <c:axId val="40534704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浸水深(cm)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250301"/>
        <c:crosses val="autoZero"/>
        <c:crossBetween val="midCat"/>
      </c:valAx>
      <c:valAx>
        <c:axId val="425030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損失率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05347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基礎素材型産業 フラジリティ曲線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'3_基礎素材型産業'!$B$9</c:f>
              <c:strCache>
                <c:ptCount val="1"/>
                <c:pt idx="0">
                  <c:v>被害モード1以上率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'3_基礎素材型産業'!$A$10:$A$70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'3_基礎素材型産業'!$B$10:$B$70</c:f>
              <c:numCache>
                <c:formatCode>General</c:formatCode>
                <c:ptCount val="61"/>
                <c:pt idx="0">
                  <c:v>0</c:v>
                </c:pt>
                <c:pt idx="1">
                  <c:v>0.30962184914693536</c:v>
                </c:pt>
                <c:pt idx="2">
                  <c:v>0.62863970029865601</c:v>
                </c:pt>
                <c:pt idx="3">
                  <c:v>0.79130259615528142</c:v>
                </c:pt>
                <c:pt idx="4">
                  <c:v>0.87563260675395616</c:v>
                </c:pt>
                <c:pt idx="5">
                  <c:v>0.92206142514624279</c:v>
                </c:pt>
                <c:pt idx="6">
                  <c:v>0.94909323099929033</c:v>
                </c:pt>
                <c:pt idx="7">
                  <c:v>0.96559286311298331</c:v>
                </c:pt>
                <c:pt idx="8">
                  <c:v>0.97606964687479236</c:v>
                </c:pt>
                <c:pt idx="9">
                  <c:v>0.98294720286894777</c:v>
                </c:pt>
                <c:pt idx="10">
                  <c:v>0.98759184680740808</c:v>
                </c:pt>
                <c:pt idx="11">
                  <c:v>0.99080609113594165</c:v>
                </c:pt>
                <c:pt idx="12">
                  <c:v>0.99307826626282714</c:v>
                </c:pt>
                <c:pt idx="13">
                  <c:v>0.99471479305465726</c:v>
                </c:pt>
                <c:pt idx="14">
                  <c:v>0.99591318916543048</c:v>
                </c:pt>
                <c:pt idx="15">
                  <c:v>0.99680383257340699</c:v>
                </c:pt>
                <c:pt idx="16">
                  <c:v>0.99747461931279191</c:v>
                </c:pt>
                <c:pt idx="17">
                  <c:v>0.99798593575027228</c:v>
                </c:pt>
                <c:pt idx="18">
                  <c:v>0.99837998037868769</c:v>
                </c:pt>
                <c:pt idx="19">
                  <c:v>0.99868669965080037</c:v>
                </c:pt>
                <c:pt idx="20">
                  <c:v>0.99892764532451983</c:v>
                </c:pt>
                <c:pt idx="21">
                  <c:v>0.9991185277842769</c:v>
                </c:pt>
                <c:pt idx="22">
                  <c:v>0.99927093484814544</c:v>
                </c:pt>
                <c:pt idx="23">
                  <c:v>0.99939350676958283</c:v>
                </c:pt>
                <c:pt idx="24">
                  <c:v>0.99949275094236367</c:v>
                </c:pt>
                <c:pt idx="25">
                  <c:v>0.99957361421839941</c:v>
                </c:pt>
                <c:pt idx="26">
                  <c:v>0.99963988984553087</c:v>
                </c:pt>
                <c:pt idx="27">
                  <c:v>0.99969451008319232</c:v>
                </c:pt>
                <c:pt idx="28">
                  <c:v>0.99973975882553812</c:v>
                </c:pt>
                <c:pt idx="29">
                  <c:v>0.99977742761618227</c:v>
                </c:pt>
                <c:pt idx="30">
                  <c:v>0.99980893117731751</c:v>
                </c:pt>
                <c:pt idx="31">
                  <c:v>0.99983539369611762</c:v>
                </c:pt>
                <c:pt idx="32">
                  <c:v>0.99985771379211785</c:v>
                </c:pt>
                <c:pt idx="33">
                  <c:v>0.99987661380592197</c:v>
                </c:pt>
                <c:pt idx="34">
                  <c:v>0.99989267746204369</c:v>
                </c:pt>
                <c:pt idx="35">
                  <c:v>0.9999063788438457</c:v>
                </c:pt>
                <c:pt idx="36">
                  <c:v>0.99991810482821442</c:v>
                </c:pt>
                <c:pt idx="37">
                  <c:v>0.99992817256233224</c:v>
                </c:pt>
                <c:pt idx="38">
                  <c:v>0.99993684315717823</c:v>
                </c:pt>
                <c:pt idx="39">
                  <c:v>0.99994433247592462</c:v>
                </c:pt>
                <c:pt idx="40">
                  <c:v>0.99995081967820898</c:v>
                </c:pt>
                <c:pt idx="41">
                  <c:v>0.99995645402098954</c:v>
                </c:pt>
                <c:pt idx="42">
                  <c:v>0.99996136029760974</c:v>
                </c:pt>
                <c:pt idx="43">
                  <c:v>0.99996564320763937</c:v>
                </c:pt>
                <c:pt idx="44">
                  <c:v>0.99996939088304004</c:v>
                </c:pt>
                <c:pt idx="45">
                  <c:v>0.99997267774546228</c:v>
                </c:pt>
                <c:pt idx="46">
                  <c:v>0.99997556683085009</c:v>
                </c:pt>
                <c:pt idx="47">
                  <c:v>0.99997811168795381</c:v>
                </c:pt>
                <c:pt idx="48">
                  <c:v>0.99998035793459539</c:v>
                </c:pt>
                <c:pt idx="49">
                  <c:v>0.99998234453792223</c:v>
                </c:pt>
                <c:pt idx="50">
                  <c:v>0.99998410487121048</c:v>
                </c:pt>
                <c:pt idx="51">
                  <c:v>0.99998566758909413</c:v>
                </c:pt>
                <c:pt idx="52">
                  <c:v>0.99998705735472071</c:v>
                </c:pt>
                <c:pt idx="53">
                  <c:v>0.99998829544573697</c:v>
                </c:pt>
                <c:pt idx="54">
                  <c:v>0.99998940026078842</c:v>
                </c:pt>
                <c:pt idx="55">
                  <c:v>0.99999038774407578</c:v>
                </c:pt>
                <c:pt idx="56">
                  <c:v>0.99999127174220703</c:v>
                </c:pt>
                <c:pt idx="57">
                  <c:v>0.99999206430494225</c:v>
                </c:pt>
                <c:pt idx="58">
                  <c:v>0.99999277593930724</c:v>
                </c:pt>
                <c:pt idx="59">
                  <c:v>0.99999341582484347</c:v>
                </c:pt>
                <c:pt idx="60">
                  <c:v>0.99999399199637851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6-4260-AEDD-C45D18CBE9CC}"/>
            </c:ext>
          </c:extLst>
        </c:ser>
        <c:ser>
          <c:idx val="1"/>
          <c:order val="1"/>
          <c:tx>
            <c:strRef>
              <c:f>'3_基礎素材型産業'!$C$9</c:f>
              <c:strCache>
                <c:ptCount val="1"/>
                <c:pt idx="0">
                  <c:v>被害モード2以上率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'3_基礎素材型産業'!$A$10:$A$70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'3_基礎素材型産業'!$C$10:$C$70</c:f>
              <c:numCache>
                <c:formatCode>General</c:formatCode>
                <c:ptCount val="61"/>
                <c:pt idx="0">
                  <c:v>0</c:v>
                </c:pt>
                <c:pt idx="1">
                  <c:v>6.8880040092250032E-4</c:v>
                </c:pt>
                <c:pt idx="2">
                  <c:v>8.795219815931201E-3</c:v>
                </c:pt>
                <c:pt idx="3">
                  <c:v>2.9283370914100434E-2</c:v>
                </c:pt>
                <c:pt idx="4">
                  <c:v>6.0696505708772018E-2</c:v>
                </c:pt>
                <c:pt idx="5">
                  <c:v>9.9692455189089674E-2</c:v>
                </c:pt>
                <c:pt idx="6">
                  <c:v>0.1431538598425427</c:v>
                </c:pt>
                <c:pt idx="7">
                  <c:v>0.18868736661335844</c:v>
                </c:pt>
                <c:pt idx="8">
                  <c:v>0.23460107543444192</c:v>
                </c:pt>
                <c:pt idx="9">
                  <c:v>0.27975821740238749</c:v>
                </c:pt>
                <c:pt idx="10">
                  <c:v>0.3234292608747078</c:v>
                </c:pt>
                <c:pt idx="11">
                  <c:v>0.36517265390746317</c:v>
                </c:pt>
                <c:pt idx="12">
                  <c:v>0.4047460689637804</c:v>
                </c:pt>
                <c:pt idx="13">
                  <c:v>0.44204266908768186</c:v>
                </c:pt>
                <c:pt idx="14">
                  <c:v>0.47704615297257491</c:v>
                </c:pt>
                <c:pt idx="15">
                  <c:v>0.50979936113672419</c:v>
                </c:pt>
                <c:pt idx="16">
                  <c:v>0.54038249946916039</c:v>
                </c:pt>
                <c:pt idx="17">
                  <c:v>0.56889812488318225</c:v>
                </c:pt>
                <c:pt idx="18">
                  <c:v>0.5954608666837421</c:v>
                </c:pt>
                <c:pt idx="19">
                  <c:v>0.62019045845918563</c:v>
                </c:pt>
                <c:pt idx="20">
                  <c:v>0.64320708162749685</c:v>
                </c:pt>
                <c:pt idx="21">
                  <c:v>0.66462832097028834</c:v>
                </c:pt>
                <c:pt idx="22">
                  <c:v>0.68456724165296889</c:v>
                </c:pt>
                <c:pt idx="23">
                  <c:v>0.70313124338496713</c:v>
                </c:pt>
                <c:pt idx="24">
                  <c:v>0.72042144964778376</c:v>
                </c:pt>
                <c:pt idx="25">
                  <c:v>0.7365324616584481</c:v>
                </c:pt>
                <c:pt idx="26">
                  <c:v>0.75155235719908031</c:v>
                </c:pt>
                <c:pt idx="27">
                  <c:v>0.76556285004034841</c:v>
                </c:pt>
                <c:pt idx="28">
                  <c:v>0.77863955086189662</c:v>
                </c:pt>
                <c:pt idx="29">
                  <c:v>0.79085228841519573</c:v>
                </c:pt>
                <c:pt idx="30">
                  <c:v>0.80226546233828711</c:v>
                </c:pt>
                <c:pt idx="31">
                  <c:v>0.81293840802626227</c:v>
                </c:pt>
                <c:pt idx="32">
                  <c:v>0.82292576034687626</c:v>
                </c:pt>
                <c:pt idx="33">
                  <c:v>0.83227780751654934</c:v>
                </c:pt>
                <c:pt idx="34">
                  <c:v>0.84104082964913462</c:v>
                </c:pt>
                <c:pt idx="35">
                  <c:v>0.84925741873614524</c:v>
                </c:pt>
                <c:pt idx="36">
                  <c:v>0.85696677838244284</c:v>
                </c:pt>
                <c:pt idx="37">
                  <c:v>0.86420500269898914</c:v>
                </c:pt>
                <c:pt idx="38">
                  <c:v>0.87100533448298489</c:v>
                </c:pt>
                <c:pt idx="39">
                  <c:v>0.87739840329542773</c:v>
                </c:pt>
                <c:pt idx="40">
                  <c:v>0.88341244434892441</c:v>
                </c:pt>
                <c:pt idx="41">
                  <c:v>0.88907349929637092</c:v>
                </c:pt>
                <c:pt idx="42">
                  <c:v>0.89440560010146153</c:v>
                </c:pt>
                <c:pt idx="43">
                  <c:v>0.89943093720190348</c:v>
                </c:pt>
                <c:pt idx="44">
                  <c:v>0.90417001316518064</c:v>
                </c:pt>
                <c:pt idx="45">
                  <c:v>0.90864178299872478</c:v>
                </c:pt>
                <c:pt idx="46">
                  <c:v>0.91286378222136544</c:v>
                </c:pt>
                <c:pt idx="47">
                  <c:v>0.91685224373803731</c:v>
                </c:pt>
                <c:pt idx="48">
                  <c:v>0.92062220448989562</c:v>
                </c:pt>
                <c:pt idx="49">
                  <c:v>0.92418760278065959</c:v>
                </c:pt>
                <c:pt idx="50">
                  <c:v>0.9275613671095182</c:v>
                </c:pt>
                <c:pt idx="51">
                  <c:v>0.93075549727281448</c:v>
                </c:pt>
                <c:pt idx="52">
                  <c:v>0.93378113843196453</c:v>
                </c:pt>
                <c:pt idx="53">
                  <c:v>0.93664864878419229</c:v>
                </c:pt>
                <c:pt idx="54">
                  <c:v>0.93936766141598049</c:v>
                </c:pt>
                <c:pt idx="55">
                  <c:v>0.94194714086669074</c:v>
                </c:pt>
                <c:pt idx="56">
                  <c:v>0.94439543488156641</c:v>
                </c:pt>
                <c:pt idx="57">
                  <c:v>0.94672032178911514</c:v>
                </c:pt>
                <c:pt idx="58">
                  <c:v>0.94892905389750015</c:v>
                </c:pt>
                <c:pt idx="59">
                  <c:v>0.95102839726779842</c:v>
                </c:pt>
                <c:pt idx="60">
                  <c:v>0.95302466818854903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6-4260-AEDD-C45D18CBE9CC}"/>
            </c:ext>
          </c:extLst>
        </c:ser>
        <c:ser>
          <c:idx val="2"/>
          <c:order val="2"/>
          <c:tx>
            <c:strRef>
              <c:f>'3_基礎素材型産業'!$D$9</c:f>
              <c:strCache>
                <c:ptCount val="1"/>
                <c:pt idx="0">
                  <c:v>被害モード3以上率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'3_基礎素材型産業'!$A$10:$A$70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'3_基礎素材型産業'!$D$10:$D$70</c:f>
              <c:numCache>
                <c:formatCode>General</c:formatCode>
                <c:ptCount val="61"/>
                <c:pt idx="0">
                  <c:v>0</c:v>
                </c:pt>
                <c:pt idx="1">
                  <c:v>4.5467148180961903E-5</c:v>
                </c:pt>
                <c:pt idx="2">
                  <c:v>1.0061397656353679E-3</c:v>
                </c:pt>
                <c:pt idx="3">
                  <c:v>4.5841034988796927E-3</c:v>
                </c:pt>
                <c:pt idx="4">
                  <c:v>1.1810488003635837E-2</c:v>
                </c:pt>
                <c:pt idx="5">
                  <c:v>2.2880474071701965E-2</c:v>
                </c:pt>
                <c:pt idx="6">
                  <c:v>3.7493635728135861E-2</c:v>
                </c:pt>
                <c:pt idx="7">
                  <c:v>5.5129568720925733E-2</c:v>
                </c:pt>
                <c:pt idx="8">
                  <c:v>7.520801460893875E-2</c:v>
                </c:pt>
                <c:pt idx="9">
                  <c:v>9.7170193033559782E-2</c:v>
                </c:pt>
                <c:pt idx="10">
                  <c:v>0.12051495006855835</c:v>
                </c:pt>
                <c:pt idx="11">
                  <c:v>0.14481083266865749</c:v>
                </c:pt>
                <c:pt idx="12">
                  <c:v>0.1696960749222326</c:v>
                </c:pt>
                <c:pt idx="13">
                  <c:v>0.19487301405621232</c:v>
                </c:pt>
                <c:pt idx="14">
                  <c:v>0.22010037564985394</c:v>
                </c:pt>
                <c:pt idx="15">
                  <c:v>0.24518517827165787</c:v>
                </c:pt>
                <c:pt idx="16">
                  <c:v>0.26997509497177469</c:v>
                </c:pt>
                <c:pt idx="17">
                  <c:v>0.29435162381927055</c:v>
                </c:pt>
                <c:pt idx="18">
                  <c:v>0.31822416822410637</c:v>
                </c:pt>
                <c:pt idx="19">
                  <c:v>0.34152500338572289</c:v>
                </c:pt>
                <c:pt idx="20">
                  <c:v>0.36420504915005408</c:v>
                </c:pt>
                <c:pt idx="21">
                  <c:v>0.38623034955535657</c:v>
                </c:pt>
                <c:pt idx="22">
                  <c:v>0.40757915770155739</c:v>
                </c:pt>
                <c:pt idx="23">
                  <c:v>0.42823953164733936</c:v>
                </c:pt>
                <c:pt idx="24">
                  <c:v>0.44820735765145803</c:v>
                </c:pt>
                <c:pt idx="25">
                  <c:v>0.46748472853218426</c:v>
                </c:pt>
                <c:pt idx="26">
                  <c:v>0.48607861588745355</c:v>
                </c:pt>
                <c:pt idx="27">
                  <c:v>0.50399978480717134</c:v>
                </c:pt>
                <c:pt idx="28">
                  <c:v>0.52126190832255426</c:v>
                </c:pt>
                <c:pt idx="29">
                  <c:v>0.53788084618170184</c:v>
                </c:pt>
                <c:pt idx="30">
                  <c:v>0.55387405871726303</c:v>
                </c:pt>
                <c:pt idx="31">
                  <c:v>0.56926013171985868</c:v>
                </c:pt>
                <c:pt idx="32">
                  <c:v>0.58405839249547165</c:v>
                </c:pt>
                <c:pt idx="33">
                  <c:v>0.59828860080402346</c:v>
                </c:pt>
                <c:pt idx="34">
                  <c:v>0.61197070127284847</c:v>
                </c:pt>
                <c:pt idx="35">
                  <c:v>0.6251246262594049</c:v>
                </c:pt>
                <c:pt idx="36">
                  <c:v>0.63777014009270649</c:v>
                </c:pt>
                <c:pt idx="37">
                  <c:v>0.64992671722831952</c:v>
                </c:pt>
                <c:pt idx="38">
                  <c:v>0.66161344817018652</c:v>
                </c:pt>
                <c:pt idx="39">
                  <c:v>0.67284896809569572</c:v>
                </c:pt>
                <c:pt idx="40">
                  <c:v>0.68365140401094504</c:v>
                </c:pt>
                <c:pt idx="41">
                  <c:v>0.69403833699577788</c:v>
                </c:pt>
                <c:pt idx="42">
                  <c:v>0.70402677670146352</c:v>
                </c:pt>
                <c:pt idx="43">
                  <c:v>0.71363314576108516</c:v>
                </c:pt>
                <c:pt idx="44">
                  <c:v>0.72287327218281228</c:v>
                </c:pt>
                <c:pt idx="45">
                  <c:v>0.73176238813484007</c:v>
                </c:pt>
                <c:pt idx="46">
                  <c:v>0.74031513381053682</c:v>
                </c:pt>
                <c:pt idx="47">
                  <c:v>0.74854556529369165</c:v>
                </c:pt>
                <c:pt idx="48">
                  <c:v>0.75646716553518434</c:v>
                </c:pt>
                <c:pt idx="49">
                  <c:v>0.76409285771089641</c:v>
                </c:pt>
                <c:pt idx="50">
                  <c:v>0.77143502036199252</c:v>
                </c:pt>
                <c:pt idx="51">
                  <c:v>0.77850550382749306</c:v>
                </c:pt>
                <c:pt idx="52">
                  <c:v>0.78531564756925654</c:v>
                </c:pt>
                <c:pt idx="53">
                  <c:v>0.79187629806423809</c:v>
                </c:pt>
                <c:pt idx="54">
                  <c:v>0.79819782700085917</c:v>
                </c:pt>
                <c:pt idx="55">
                  <c:v>0.80429014956765532</c:v>
                </c:pt>
                <c:pt idx="56">
                  <c:v>0.81016274266488975</c:v>
                </c:pt>
                <c:pt idx="57">
                  <c:v>0.815824662904995</c:v>
                </c:pt>
                <c:pt idx="58">
                  <c:v>0.82128456429678454</c:v>
                </c:pt>
                <c:pt idx="59">
                  <c:v>0.8265507155323798</c:v>
                </c:pt>
                <c:pt idx="60">
                  <c:v>0.83163101681555673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06-4260-AEDD-C45D18CBE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94541"/>
        <c:axId val="7726667"/>
      </c:scatterChart>
      <c:valAx>
        <c:axId val="80094541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726667"/>
        <c:crosses val="autoZero"/>
        <c:crossBetween val="midCat"/>
      </c:valAx>
      <c:valAx>
        <c:axId val="772666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被害モード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以上となる確率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009454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基礎素材型産業 損失率曲線（被害区分の最大値）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'3_基礎素材型産業'!$I$9</c:f>
              <c:strCache>
                <c:ptCount val="1"/>
                <c:pt idx="0">
                  <c:v>損失率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'3_基礎素材型産業'!$A$10:$A$70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'3_基礎素材型産業'!$I$10:$I$70</c:f>
              <c:numCache>
                <c:formatCode>0.0%</c:formatCode>
                <c:ptCount val="61"/>
                <c:pt idx="0">
                  <c:v>0</c:v>
                </c:pt>
                <c:pt idx="1">
                  <c:v>7.7600395961054947E-2</c:v>
                </c:pt>
                <c:pt idx="2">
                  <c:v>0.15986179991146449</c:v>
                </c:pt>
                <c:pt idx="3">
                  <c:v>0.20743854351678531</c:v>
                </c:pt>
                <c:pt idx="4">
                  <c:v>0.23998752211749996</c:v>
                </c:pt>
                <c:pt idx="5">
                  <c:v>0.26687870711968409</c:v>
                </c:pt>
                <c:pt idx="6">
                  <c:v>0.29180859057452618</c:v>
                </c:pt>
                <c:pt idx="7">
                  <c:v>0.31613484179204832</c:v>
                </c:pt>
                <c:pt idx="8">
                  <c:v>0.34027168788177797</c:v>
                </c:pt>
                <c:pt idx="9">
                  <c:v>0.3642614515846137</c:v>
                </c:pt>
                <c:pt idx="10">
                  <c:v>0.38801275195480817</c:v>
                </c:pt>
                <c:pt idx="11">
                  <c:v>0.4114001025951799</c:v>
                </c:pt>
                <c:pt idx="12">
                  <c:v>0.43430412126776818</c:v>
                </c:pt>
                <c:pt idx="13">
                  <c:v>0.45662587256369097</c:v>
                </c:pt>
                <c:pt idx="14">
                  <c:v>0.47829002335942827</c:v>
                </c:pt>
                <c:pt idx="15">
                  <c:v>0.49924338756336173</c:v>
                </c:pt>
                <c:pt idx="16">
                  <c:v>0.51945182718137539</c:v>
                </c:pt>
                <c:pt idx="17">
                  <c:v>0.53889682706799891</c:v>
                </c:pt>
                <c:pt idx="18">
                  <c:v>0.55757229587766066</c:v>
                </c:pt>
                <c:pt idx="19">
                  <c:v>0.57548179122035792</c:v>
                </c:pt>
                <c:pt idx="20">
                  <c:v>0.59263620631303127</c:v>
                </c:pt>
                <c:pt idx="21">
                  <c:v>0.60905188696631962</c:v>
                </c:pt>
                <c:pt idx="22">
                  <c:v>0.62474912297605734</c:v>
                </c:pt>
                <c:pt idx="23">
                  <c:v>0.63975095336230714</c:v>
                </c:pt>
                <c:pt idx="24">
                  <c:v>0.65408222897326584</c:v>
                </c:pt>
                <c:pt idx="25">
                  <c:v>0.66776888323530403</c:v>
                </c:pt>
                <c:pt idx="26">
                  <c:v>0.68083736970487951</c:v>
                </c:pt>
                <c:pt idx="27">
                  <c:v>0.69331423243447088</c:v>
                </c:pt>
                <c:pt idx="28">
                  <c:v>0.70522578158313576</c:v>
                </c:pt>
                <c:pt idx="29">
                  <c:v>0.71659785209869542</c:v>
                </c:pt>
                <c:pt idx="30">
                  <c:v>0.7274556277375327</c:v>
                </c:pt>
                <c:pt idx="31">
                  <c:v>0.73782351629052434</c:v>
                </c:pt>
                <c:pt idx="32">
                  <c:v>0.74772506478248435</c:v>
                </c:pt>
                <c:pt idx="33">
                  <c:v>0.75718290573262959</c:v>
                </c:pt>
                <c:pt idx="34">
                  <c:v>0.76621872741421881</c:v>
                </c:pt>
                <c:pt idx="35">
                  <c:v>0.77485326252470021</c:v>
                </c:pt>
                <c:pt idx="36">
                  <c:v>0.78310629084901762</c:v>
                </c:pt>
                <c:pt idx="37">
                  <c:v>0.79099665242949013</c:v>
                </c:pt>
                <c:pt idx="38">
                  <c:v>0.79854226849513399</c:v>
                </c:pt>
                <c:pt idx="39">
                  <c:v>0.80576016799068595</c:v>
                </c:pt>
                <c:pt idx="40">
                  <c:v>0.81266651801225587</c:v>
                </c:pt>
                <c:pt idx="41">
                  <c:v>0.81927665682722906</c:v>
                </c:pt>
                <c:pt idx="42">
                  <c:v>0.8256051284504996</c:v>
                </c:pt>
                <c:pt idx="43">
                  <c:v>0.83166571798292832</c:v>
                </c:pt>
                <c:pt idx="44">
                  <c:v>0.83747148710346131</c:v>
                </c:pt>
                <c:pt idx="45">
                  <c:v>0.84303480925346674</c:v>
                </c:pt>
                <c:pt idx="46">
                  <c:v>0.84836740416832224</c:v>
                </c:pt>
                <c:pt idx="47">
                  <c:v>0.85348037150334366</c:v>
                </c:pt>
                <c:pt idx="48">
                  <c:v>0.85838422337371489</c:v>
                </c:pt>
                <c:pt idx="49">
                  <c:v>0.86308891568509361</c:v>
                </c:pt>
                <c:pt idx="50">
                  <c:v>0.86760387817617846</c:v>
                </c:pt>
                <c:pt idx="51">
                  <c:v>0.87193804312922363</c:v>
                </c:pt>
                <c:pt idx="52">
                  <c:v>0.87609987273129963</c:v>
                </c:pt>
                <c:pt idx="53">
                  <c:v>0.88009738508960134</c:v>
                </c:pt>
                <c:pt idx="54">
                  <c:v>0.88393817891962179</c:v>
                </c:pt>
                <c:pt idx="55">
                  <c:v>0.88762945693651929</c:v>
                </c:pt>
                <c:pt idx="56">
                  <c:v>0.89117804798838818</c:v>
                </c:pt>
                <c:pt idx="57">
                  <c:v>0.89459042797601185</c:v>
                </c:pt>
                <c:pt idx="58">
                  <c:v>0.89787273960759406</c:v>
                </c:pt>
                <c:pt idx="59">
                  <c:v>0.90103081103935034</c:v>
                </c:pt>
                <c:pt idx="60">
                  <c:v>0.9040701734540102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1-4523-816D-32FF2D63A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23437"/>
        <c:axId val="37153898"/>
      </c:scatterChart>
      <c:valAx>
        <c:axId val="27323437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7153898"/>
        <c:crosses val="autoZero"/>
        <c:crossBetween val="midCat"/>
      </c:valAx>
      <c:valAx>
        <c:axId val="3715389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損失率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732343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非製造業 フラジリティ曲線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'4_非製造業'!$B$9</c:f>
              <c:strCache>
                <c:ptCount val="1"/>
                <c:pt idx="0">
                  <c:v>被害モード1以上率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'4_非製造業'!$A$10:$A$70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'4_非製造業'!$B$10:$B$70</c:f>
              <c:numCache>
                <c:formatCode>General</c:formatCode>
                <c:ptCount val="61"/>
                <c:pt idx="0">
                  <c:v>0</c:v>
                </c:pt>
                <c:pt idx="1">
                  <c:v>0.510234759965003</c:v>
                </c:pt>
                <c:pt idx="2">
                  <c:v>0.71615021620658914</c:v>
                </c:pt>
                <c:pt idx="3">
                  <c:v>0.81345670336965836</c:v>
                </c:pt>
                <c:pt idx="4">
                  <c:v>0.86805155642807375</c:v>
                </c:pt>
                <c:pt idx="5">
                  <c:v>0.90198262421530551</c:v>
                </c:pt>
                <c:pt idx="6">
                  <c:v>0.92456877333205512</c:v>
                </c:pt>
                <c:pt idx="7">
                  <c:v>0.94036799789025871</c:v>
                </c:pt>
                <c:pt idx="8">
                  <c:v>0.9518450931853677</c:v>
                </c:pt>
                <c:pt idx="9">
                  <c:v>0.96043492960959909</c:v>
                </c:pt>
                <c:pt idx="10">
                  <c:v>0.96702156576390563</c:v>
                </c:pt>
                <c:pt idx="11">
                  <c:v>0.9721748456615783</c:v>
                </c:pt>
                <c:pt idx="12">
                  <c:v>0.97627587453445042</c:v>
                </c:pt>
                <c:pt idx="13">
                  <c:v>0.97958748848392929</c:v>
                </c:pt>
                <c:pt idx="14">
                  <c:v>0.98229574342248271</c:v>
                </c:pt>
                <c:pt idx="15">
                  <c:v>0.98453532784403863</c:v>
                </c:pt>
                <c:pt idx="16">
                  <c:v>0.98640566261765794</c:v>
                </c:pt>
                <c:pt idx="17">
                  <c:v>0.98798140209488006</c:v>
                </c:pt>
                <c:pt idx="18">
                  <c:v>0.98931945978984126</c:v>
                </c:pt>
                <c:pt idx="19">
                  <c:v>0.99046381530806649</c:v>
                </c:pt>
                <c:pt idx="20">
                  <c:v>0.99144886930295451</c:v>
                </c:pt>
                <c:pt idx="21">
                  <c:v>0.99230182709133086</c:v>
                </c:pt>
                <c:pt idx="22">
                  <c:v>0.99304441951338684</c:v>
                </c:pt>
                <c:pt idx="23">
                  <c:v>0.99369416347317574</c:v>
                </c:pt>
                <c:pt idx="24">
                  <c:v>0.99426529756634441</c:v>
                </c:pt>
                <c:pt idx="25">
                  <c:v>0.99476948497797857</c:v>
                </c:pt>
                <c:pt idx="26">
                  <c:v>0.99521634742457821</c:v>
                </c:pt>
                <c:pt idx="27">
                  <c:v>0.99561387491487141</c:v>
                </c:pt>
                <c:pt idx="28">
                  <c:v>0.99596874319362827</c:v>
                </c:pt>
                <c:pt idx="29">
                  <c:v>0.9962865618298905</c:v>
                </c:pt>
                <c:pt idx="30">
                  <c:v>0.99657206968822221</c:v>
                </c:pt>
                <c:pt idx="31">
                  <c:v>0.99682929011703081</c:v>
                </c:pt>
                <c:pt idx="32">
                  <c:v>0.99706165503384203</c:v>
                </c:pt>
                <c:pt idx="33">
                  <c:v>0.99727210480399175</c:v>
                </c:pt>
                <c:pt idx="34">
                  <c:v>0.99746316913924715</c:v>
                </c:pt>
                <c:pt idx="35">
                  <c:v>0.99763703300992423</c:v>
                </c:pt>
                <c:pt idx="36">
                  <c:v>0.99779559064558521</c:v>
                </c:pt>
                <c:pt idx="37">
                  <c:v>0.9979404900094252</c:v>
                </c:pt>
                <c:pt idx="38">
                  <c:v>0.99807316960901049</c:v>
                </c:pt>
                <c:pt idx="39">
                  <c:v>0.99819488910747878</c:v>
                </c:pt>
                <c:pt idx="40">
                  <c:v>0.99830675489311693</c:v>
                </c:pt>
                <c:pt idx="41">
                  <c:v>0.99840974152841122</c:v>
                </c:pt>
                <c:pt idx="42">
                  <c:v>0.99850470981533657</c:v>
                </c:pt>
                <c:pt idx="43">
                  <c:v>0.99859242206931786</c:v>
                </c:pt>
                <c:pt idx="44">
                  <c:v>0.99867355508061595</c:v>
                </c:pt>
                <c:pt idx="45">
                  <c:v>0.99874871115188402</c:v>
                </c:pt>
                <c:pt idx="46">
                  <c:v>0.99881842752898375</c:v>
                </c:pt>
                <c:pt idx="47">
                  <c:v>0.99888318448483726</c:v>
                </c:pt>
                <c:pt idx="48">
                  <c:v>0.99894341227001593</c:v>
                </c:pt>
                <c:pt idx="49">
                  <c:v>0.99899949710657165</c:v>
                </c:pt>
                <c:pt idx="50">
                  <c:v>0.9990517863714502</c:v>
                </c:pt>
                <c:pt idx="51">
                  <c:v>0.99910059309125543</c:v>
                </c:pt>
                <c:pt idx="52">
                  <c:v>0.99914619985005582</c:v>
                </c:pt>
                <c:pt idx="53">
                  <c:v>0.9991888621954309</c:v>
                </c:pt>
                <c:pt idx="54">
                  <c:v>0.99922881161438259</c:v>
                </c:pt>
                <c:pt idx="55">
                  <c:v>0.99926625813950321</c:v>
                </c:pt>
                <c:pt idx="56">
                  <c:v>0.99930139263648177</c:v>
                </c:pt>
                <c:pt idx="57">
                  <c:v>0.99933438881627668</c:v>
                </c:pt>
                <c:pt idx="58">
                  <c:v>0.99936540500881066</c:v>
                </c:pt>
                <c:pt idx="59">
                  <c:v>0.99939458572962325</c:v>
                </c:pt>
                <c:pt idx="60">
                  <c:v>0.99942206306636405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3-494D-9DDE-CC58C4554AEA}"/>
            </c:ext>
          </c:extLst>
        </c:ser>
        <c:ser>
          <c:idx val="1"/>
          <c:order val="1"/>
          <c:tx>
            <c:strRef>
              <c:f>'4_非製造業'!$C$9</c:f>
              <c:strCache>
                <c:ptCount val="1"/>
                <c:pt idx="0">
                  <c:v>被害モード2以上率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'4_非製造業'!$A$10:$A$70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'4_非製造業'!$C$10:$C$70</c:f>
              <c:numCache>
                <c:formatCode>General</c:formatCode>
                <c:ptCount val="61"/>
                <c:pt idx="0">
                  <c:v>0</c:v>
                </c:pt>
                <c:pt idx="1">
                  <c:v>2.6496843312010035E-2</c:v>
                </c:pt>
                <c:pt idx="2">
                  <c:v>8.2387918578632424E-2</c:v>
                </c:pt>
                <c:pt idx="3">
                  <c:v>0.14232691231631298</c:v>
                </c:pt>
                <c:pt idx="4">
                  <c:v>0.19950182558603288</c:v>
                </c:pt>
                <c:pt idx="5">
                  <c:v>0.25216305909269288</c:v>
                </c:pt>
                <c:pt idx="6">
                  <c:v>0.30009123133379967</c:v>
                </c:pt>
                <c:pt idx="7">
                  <c:v>0.34356252299433687</c:v>
                </c:pt>
                <c:pt idx="8">
                  <c:v>0.38299781657833554</c:v>
                </c:pt>
                <c:pt idx="9">
                  <c:v>0.41883517710574103</c:v>
                </c:pt>
                <c:pt idx="10">
                  <c:v>0.45148386516710837</c:v>
                </c:pt>
                <c:pt idx="11">
                  <c:v>0.48131007148508831</c:v>
                </c:pt>
                <c:pt idx="12">
                  <c:v>0.50863524571424767</c:v>
                </c:pt>
                <c:pt idx="13">
                  <c:v>0.53373923789174904</c:v>
                </c:pt>
                <c:pt idx="14">
                  <c:v>0.55686499062299144</c:v>
                </c:pt>
                <c:pt idx="15">
                  <c:v>0.57822341749220418</c:v>
                </c:pt>
                <c:pt idx="16">
                  <c:v>0.597997926511602</c:v>
                </c:pt>
                <c:pt idx="17">
                  <c:v>0.61634840923689804</c:v>
                </c:pt>
                <c:pt idx="18">
                  <c:v>0.63341467292074083</c:v>
                </c:pt>
                <c:pt idx="19">
                  <c:v>0.64931935692024789</c:v>
                </c:pt>
                <c:pt idx="20">
                  <c:v>0.66417039622949714</c:v>
                </c:pt>
                <c:pt idx="21">
                  <c:v>0.67806309791458097</c:v>
                </c:pt>
                <c:pt idx="22">
                  <c:v>0.69108189134113851</c:v>
                </c:pt>
                <c:pt idx="23">
                  <c:v>0.70330180549962773</c:v>
                </c:pt>
                <c:pt idx="24">
                  <c:v>0.7147897187617962</c:v>
                </c:pt>
                <c:pt idx="25">
                  <c:v>0.72560541901921516</c:v>
                </c:pt>
                <c:pt idx="26">
                  <c:v>0.73580250570529937</c:v>
                </c:pt>
                <c:pt idx="27">
                  <c:v>0.74542915973874724</c:v>
                </c:pt>
                <c:pt idx="28">
                  <c:v>0.75452880287684632</c:v>
                </c:pt>
                <c:pt idx="29">
                  <c:v>0.76314066421499316</c:v>
                </c:pt>
                <c:pt idx="30">
                  <c:v>0.77130026849007993</c:v>
                </c:pt>
                <c:pt idx="31">
                  <c:v>0.77903985832507638</c:v>
                </c:pt>
                <c:pt idx="32">
                  <c:v>0.78638876048981154</c:v>
                </c:pt>
                <c:pt idx="33">
                  <c:v>0.79337370456417777</c:v>
                </c:pt>
                <c:pt idx="34">
                  <c:v>0.80001910100486473</c:v>
                </c:pt>
                <c:pt idx="35">
                  <c:v>0.80634728447828552</c:v>
                </c:pt>
                <c:pt idx="36">
                  <c:v>0.81237872738430694</c:v>
                </c:pt>
                <c:pt idx="37">
                  <c:v>0.81813222772034933</c:v>
                </c:pt>
                <c:pt idx="38">
                  <c:v>0.82362507479320823</c:v>
                </c:pt>
                <c:pt idx="39">
                  <c:v>0.82887319575220797</c:v>
                </c:pt>
                <c:pt idx="40">
                  <c:v>0.8338912854723759</c:v>
                </c:pt>
                <c:pt idx="41">
                  <c:v>0.83869292194431411</c:v>
                </c:pt>
                <c:pt idx="42">
                  <c:v>0.84329066901545402</c:v>
                </c:pt>
                <c:pt idx="43">
                  <c:v>0.8476961680649634</c:v>
                </c:pt>
                <c:pt idx="44">
                  <c:v>0.85192021997317602</c:v>
                </c:pt>
                <c:pt idx="45">
                  <c:v>0.85597285855912042</c:v>
                </c:pt>
                <c:pt idx="46">
                  <c:v>0.85986341650080678</c:v>
                </c:pt>
                <c:pt idx="47">
                  <c:v>0.86360058461773215</c:v>
                </c:pt>
                <c:pt idx="48">
                  <c:v>0.86719246527973104</c:v>
                </c:pt>
                <c:pt idx="49">
                  <c:v>0.8706466206076563</c:v>
                </c:pt>
                <c:pt idx="50">
                  <c:v>0.87397011604679187</c:v>
                </c:pt>
                <c:pt idx="51">
                  <c:v>0.87716955982118838</c:v>
                </c:pt>
                <c:pt idx="52">
                  <c:v>0.88025113871446314</c:v>
                </c:pt>
                <c:pt idx="53">
                  <c:v>0.88322065056849253</c:v>
                </c:pt>
                <c:pt idx="54">
                  <c:v>0.88608353384458083</c:v>
                </c:pt>
                <c:pt idx="55">
                  <c:v>0.88884489455104676</c:v>
                </c:pt>
                <c:pt idx="56">
                  <c:v>0.89150953080583584</c:v>
                </c:pt>
                <c:pt idx="57">
                  <c:v>0.89408195527197176</c:v>
                </c:pt>
                <c:pt idx="58">
                  <c:v>0.8965664156767843</c:v>
                </c:pt>
                <c:pt idx="59">
                  <c:v>0.89896691360233294</c:v>
                </c:pt>
                <c:pt idx="60">
                  <c:v>0.90128722171383346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3-494D-9DDE-CC58C4554AEA}"/>
            </c:ext>
          </c:extLst>
        </c:ser>
        <c:ser>
          <c:idx val="2"/>
          <c:order val="2"/>
          <c:tx>
            <c:strRef>
              <c:f>'4_非製造業'!$D$9</c:f>
              <c:strCache>
                <c:ptCount val="1"/>
                <c:pt idx="0">
                  <c:v>被害モード3以上率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'4_非製造業'!$A$10:$A$70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'4_非製造業'!$D$10:$D$70</c:f>
              <c:numCache>
                <c:formatCode>General</c:formatCode>
                <c:ptCount val="61"/>
                <c:pt idx="0">
                  <c:v>0</c:v>
                </c:pt>
                <c:pt idx="1">
                  <c:v>3.480002157270548E-3</c:v>
                </c:pt>
                <c:pt idx="2">
                  <c:v>1.5660647318869139E-2</c:v>
                </c:pt>
                <c:pt idx="3">
                  <c:v>3.334905773892613E-2</c:v>
                </c:pt>
                <c:pt idx="4">
                  <c:v>5.4007276004970149E-2</c:v>
                </c:pt>
                <c:pt idx="5">
                  <c:v>7.6146641248423214E-2</c:v>
                </c:pt>
                <c:pt idx="6">
                  <c:v>9.8887312345831507E-2</c:v>
                </c:pt>
                <c:pt idx="7">
                  <c:v>0.12169825873191237</c:v>
                </c:pt>
                <c:pt idx="8">
                  <c:v>0.14425490734699953</c:v>
                </c:pt>
                <c:pt idx="9">
                  <c:v>0.16635897465914873</c:v>
                </c:pt>
                <c:pt idx="10">
                  <c:v>0.18789155351095352</c:v>
                </c:pt>
                <c:pt idx="11">
                  <c:v>0.20878467384960764</c:v>
                </c:pt>
                <c:pt idx="12">
                  <c:v>0.22900353446131444</c:v>
                </c:pt>
                <c:pt idx="13">
                  <c:v>0.24853511866087136</c:v>
                </c:pt>
                <c:pt idx="14">
                  <c:v>0.2673807474684155</c:v>
                </c:pt>
                <c:pt idx="15">
                  <c:v>0.28555112592228948</c:v>
                </c:pt>
                <c:pt idx="16">
                  <c:v>0.30306300394034646</c:v>
                </c:pt>
                <c:pt idx="17">
                  <c:v>0.31993690311643808</c:v>
                </c:pt>
                <c:pt idx="18">
                  <c:v>0.33619555893678249</c:v>
                </c:pt>
                <c:pt idx="19">
                  <c:v>0.3518628499167149</c:v>
                </c:pt>
                <c:pt idx="20">
                  <c:v>0.36696306204359963</c:v>
                </c:pt>
                <c:pt idx="21">
                  <c:v>0.38152038635147395</c:v>
                </c:pt>
                <c:pt idx="22">
                  <c:v>0.39555857982496134</c:v>
                </c:pt>
                <c:pt idx="23">
                  <c:v>0.40910074137232177</c:v>
                </c:pt>
                <c:pt idx="24">
                  <c:v>0.42216916915252156</c:v>
                </c:pt>
                <c:pt idx="25">
                  <c:v>0.43478527549033386</c:v>
                </c:pt>
                <c:pt idx="26">
                  <c:v>0.44696954249873128</c:v>
                </c:pt>
                <c:pt idx="27">
                  <c:v>0.45874150634274563</c:v>
                </c:pt>
                <c:pt idx="28">
                  <c:v>0.47011976147761636</c:v>
                </c:pt>
                <c:pt idx="29">
                  <c:v>0.48112197861294415</c:v>
                </c:pt>
                <c:pt idx="30">
                  <c:v>0.49176493188874987</c:v>
                </c:pt>
                <c:pt idx="31">
                  <c:v>0.50206453200056367</c:v>
                </c:pt>
                <c:pt idx="32">
                  <c:v>0.51203586291830971</c:v>
                </c:pt>
                <c:pt idx="33">
                  <c:v>0.52169322050515721</c:v>
                </c:pt>
                <c:pt idx="34">
                  <c:v>0.53105015182615833</c:v>
                </c:pt>
                <c:pt idx="35">
                  <c:v>0.54011949429108375</c:v>
                </c:pt>
                <c:pt idx="36">
                  <c:v>0.54891341403620197</c:v>
                </c:pt>
                <c:pt idx="37">
                  <c:v>0.55744344314092231</c:v>
                </c:pt>
                <c:pt idx="38">
                  <c:v>0.56572051541547697</c:v>
                </c:pt>
                <c:pt idx="39">
                  <c:v>0.57375500059836848</c:v>
                </c:pt>
                <c:pt idx="40">
                  <c:v>0.5815567368769855</c:v>
                </c:pt>
                <c:pt idx="41">
                  <c:v>0.58913506169869478</c:v>
                </c:pt>
                <c:pt idx="42">
                  <c:v>0.59649884087822747</c:v>
                </c:pt>
                <c:pt idx="43">
                  <c:v>0.60365649603422256</c:v>
                </c:pt>
                <c:pt idx="44">
                  <c:v>0.61061603040629631</c:v>
                </c:pt>
                <c:pt idx="45">
                  <c:v>0.61738505311623504</c:v>
                </c:pt>
                <c:pt idx="46">
                  <c:v>0.62397080194443499</c:v>
                </c:pt>
                <c:pt idx="47">
                  <c:v>0.63038016469684532</c:v>
                </c:pt>
                <c:pt idx="48">
                  <c:v>0.63661969923929129</c:v>
                </c:pt>
                <c:pt idx="49">
                  <c:v>0.64269565227588499</c:v>
                </c:pt>
                <c:pt idx="50">
                  <c:v>0.64861397694679979</c:v>
                </c:pt>
                <c:pt idx="51">
                  <c:v>0.65438034931836053</c:v>
                </c:pt>
                <c:pt idx="52">
                  <c:v>0.6600001838355134</c:v>
                </c:pt>
                <c:pt idx="53">
                  <c:v>0.66547864780347088</c:v>
                </c:pt>
                <c:pt idx="54">
                  <c:v>0.67082067496187048</c:v>
                </c:pt>
                <c:pt idx="55">
                  <c:v>0.67603097821123193</c:v>
                </c:pt>
                <c:pt idx="56">
                  <c:v>0.68111406154796383</c:v>
                </c:pt>
                <c:pt idx="57">
                  <c:v>0.68607423126067435</c:v>
                </c:pt>
                <c:pt idx="58">
                  <c:v>0.6909156064371853</c:v>
                </c:pt>
                <c:pt idx="59">
                  <c:v>0.6956421288283916</c:v>
                </c:pt>
                <c:pt idx="60">
                  <c:v>0.70025757211202844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B3-494D-9DDE-CC58C4554AEA}"/>
            </c:ext>
          </c:extLst>
        </c:ser>
        <c:ser>
          <c:idx val="3"/>
          <c:order val="3"/>
          <c:tx>
            <c:strRef>
              <c:f>'4_非製造業'!$E$9</c:f>
              <c:strCache>
                <c:ptCount val="1"/>
                <c:pt idx="0">
                  <c:v>被害モード4以上率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'4_非製造業'!$A$10:$A$70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'4_非製造業'!$E$10:$E$70</c:f>
              <c:numCache>
                <c:formatCode>General</c:formatCode>
                <c:ptCount val="61"/>
                <c:pt idx="0">
                  <c:v>0</c:v>
                </c:pt>
                <c:pt idx="1">
                  <c:v>8.2316617506713197E-4</c:v>
                </c:pt>
                <c:pt idx="2">
                  <c:v>4.6369903456313002E-3</c:v>
                </c:pt>
                <c:pt idx="3">
                  <c:v>1.1229277534670736E-2</c:v>
                </c:pt>
                <c:pt idx="4">
                  <c:v>1.9891237385405609E-2</c:v>
                </c:pt>
                <c:pt idx="5">
                  <c:v>3.0033816451645996E-2</c:v>
                </c:pt>
                <c:pt idx="6">
                  <c:v>4.1216840238950274E-2</c:v>
                </c:pt>
                <c:pt idx="7">
                  <c:v>5.3116586682987875E-2</c:v>
                </c:pt>
                <c:pt idx="8">
                  <c:v>6.5494254539839356E-2</c:v>
                </c:pt>
                <c:pt idx="9">
                  <c:v>7.8172385198255853E-2</c:v>
                </c:pt>
                <c:pt idx="10">
                  <c:v>9.1018113310689222E-2</c:v>
                </c:pt>
                <c:pt idx="11">
                  <c:v>0.10393134237391627</c:v>
                </c:pt>
                <c:pt idx="12">
                  <c:v>0.11683633546124057</c:v>
                </c:pt>
                <c:pt idx="13">
                  <c:v>0.1296756644257859</c:v>
                </c:pt>
                <c:pt idx="14">
                  <c:v>0.14240580041319953</c:v>
                </c:pt>
                <c:pt idx="15">
                  <c:v>0.15499386019036179</c:v>
                </c:pt>
                <c:pt idx="16">
                  <c:v>0.16741517706663936</c:v>
                </c:pt>
                <c:pt idx="17">
                  <c:v>0.17965146777952487</c:v>
                </c:pt>
                <c:pt idx="18">
                  <c:v>0.19168943547614331</c:v>
                </c:pt>
                <c:pt idx="19">
                  <c:v>0.20351969553324081</c:v>
                </c:pt>
                <c:pt idx="20">
                  <c:v>0.21513594295951505</c:v>
                </c:pt>
                <c:pt idx="21">
                  <c:v>0.22653430238095745</c:v>
                </c:pt>
                <c:pt idx="22">
                  <c:v>0.23771281728627677</c:v>
                </c:pt>
                <c:pt idx="23">
                  <c:v>0.24867104638537518</c:v>
                </c:pt>
                <c:pt idx="24">
                  <c:v>0.25940974299295783</c:v>
                </c:pt>
                <c:pt idx="25">
                  <c:v>0.26993059922381135</c:v>
                </c:pt>
                <c:pt idx="26">
                  <c:v>0.28023604111172928</c:v>
                </c:pt>
                <c:pt idx="27">
                  <c:v>0.2903290639791668</c:v>
                </c:pt>
                <c:pt idx="28">
                  <c:v>0.30021309979572885</c:v>
                </c:pt>
                <c:pt idx="29">
                  <c:v>0.30989191008662714</c:v>
                </c:pt>
                <c:pt idx="30">
                  <c:v>0.31936949934139935</c:v>
                </c:pt>
                <c:pt idx="31">
                  <c:v>0.32865004493943223</c:v>
                </c:pt>
                <c:pt idx="32">
                  <c:v>0.33773784043279698</c:v>
                </c:pt>
                <c:pt idx="33">
                  <c:v>0.3466372496677233</c:v>
                </c:pt>
                <c:pt idx="34">
                  <c:v>0.35535266972740265</c:v>
                </c:pt>
                <c:pt idx="35">
                  <c:v>0.3638885010732813</c:v>
                </c:pt>
                <c:pt idx="36">
                  <c:v>0.37224912357401801</c:v>
                </c:pt>
                <c:pt idx="37">
                  <c:v>0.38043887735927862</c:v>
                </c:pt>
                <c:pt idx="38">
                  <c:v>0.38846204763363201</c:v>
                </c:pt>
                <c:pt idx="39">
                  <c:v>0.39632285274466256</c:v>
                </c:pt>
                <c:pt idx="40">
                  <c:v>0.40402543492740611</c:v>
                </c:pt>
                <c:pt idx="41">
                  <c:v>0.41157385325067442</c:v>
                </c:pt>
                <c:pt idx="42">
                  <c:v>0.4189720783748182</c:v>
                </c:pt>
                <c:pt idx="43">
                  <c:v>0.4262239887988718</c:v>
                </c:pt>
                <c:pt idx="44">
                  <c:v>0.43333336833088199</c:v>
                </c:pt>
                <c:pt idx="45">
                  <c:v>0.44030390456102658</c:v>
                </c:pt>
                <c:pt idx="46">
                  <c:v>0.44713918815474735</c:v>
                </c:pt>
                <c:pt idx="47">
                  <c:v>0.4538427128141358</c:v>
                </c:pt>
                <c:pt idx="48">
                  <c:v>0.46041787578141918</c:v>
                </c:pt>
                <c:pt idx="49">
                  <c:v>0.46686797877960595</c:v>
                </c:pt>
                <c:pt idx="50">
                  <c:v>0.4731962293029458</c:v>
                </c:pt>
                <c:pt idx="51">
                  <c:v>0.479405742184488</c:v>
                </c:pt>
                <c:pt idx="52">
                  <c:v>0.48549954138021134</c:v>
                </c:pt>
                <c:pt idx="53">
                  <c:v>0.49148056191935952</c:v>
                </c:pt>
                <c:pt idx="54">
                  <c:v>0.49735165197911441</c:v>
                </c:pt>
                <c:pt idx="55">
                  <c:v>0.50311557504884075</c:v>
                </c:pt>
                <c:pt idx="56">
                  <c:v>0.50877501215509402</c:v>
                </c:pt>
                <c:pt idx="57">
                  <c:v>0.51433256412356165</c:v>
                </c:pt>
                <c:pt idx="58">
                  <c:v>0.51979075385830742</c:v>
                </c:pt>
                <c:pt idx="59">
                  <c:v>0.52515202862219357</c:v>
                </c:pt>
                <c:pt idx="60">
                  <c:v>0.53041876230530849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B3-494D-9DDE-CC58C4554AEA}"/>
            </c:ext>
          </c:extLst>
        </c:ser>
        <c:ser>
          <c:idx val="4"/>
          <c:order val="4"/>
          <c:tx>
            <c:strRef>
              <c:f>'4_非製造業'!$F$9</c:f>
              <c:strCache>
                <c:ptCount val="1"/>
                <c:pt idx="0">
                  <c:v>被害モード5以上率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'4_非製造業'!$A$10:$A$70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'4_非製造業'!$F$10:$F$70</c:f>
              <c:numCache>
                <c:formatCode>General</c:formatCode>
                <c:ptCount val="61"/>
                <c:pt idx="0">
                  <c:v>0</c:v>
                </c:pt>
                <c:pt idx="1">
                  <c:v>5.3977352563762407E-5</c:v>
                </c:pt>
                <c:pt idx="2">
                  <c:v>4.402014696979757E-4</c:v>
                </c:pt>
                <c:pt idx="3">
                  <c:v>1.3194974324585286E-3</c:v>
                </c:pt>
                <c:pt idx="4">
                  <c:v>2.714516319655465E-3</c:v>
                </c:pt>
                <c:pt idx="5">
                  <c:v>4.597652315500007E-3</c:v>
                </c:pt>
                <c:pt idx="6">
                  <c:v>6.9246994684965518E-3</c:v>
                </c:pt>
                <c:pt idx="7">
                  <c:v>9.6478732620023135E-3</c:v>
                </c:pt>
                <c:pt idx="8">
                  <c:v>1.2720999028086665E-2</c:v>
                </c:pt>
                <c:pt idx="9">
                  <c:v>1.6101483323528679E-2</c:v>
                </c:pt>
                <c:pt idx="10">
                  <c:v>1.9750898070574452E-2</c:v>
                </c:pt>
                <c:pt idx="11">
                  <c:v>2.3634959198949188E-2</c:v>
                </c:pt>
                <c:pt idx="12">
                  <c:v>2.7723251276549267E-2</c:v>
                </c:pt>
                <c:pt idx="13">
                  <c:v>3.1988860764868302E-2</c:v>
                </c:pt>
                <c:pt idx="14">
                  <c:v>3.6407993461250447E-2</c:v>
                </c:pt>
                <c:pt idx="15">
                  <c:v>4.0959610166859582E-2</c:v>
                </c:pt>
                <c:pt idx="16">
                  <c:v>4.5625094446649882E-2</c:v>
                </c:pt>
                <c:pt idx="17">
                  <c:v>5.0387956535921222E-2</c:v>
                </c:pt>
                <c:pt idx="18">
                  <c:v>5.5233572786845889E-2</c:v>
                </c:pt>
                <c:pt idx="19">
                  <c:v>6.0148957981517544E-2</c:v>
                </c:pt>
                <c:pt idx="20">
                  <c:v>6.5122567078376145E-2</c:v>
                </c:pt>
                <c:pt idx="21">
                  <c:v>7.0144122846097917E-2</c:v>
                </c:pt>
                <c:pt idx="22">
                  <c:v>7.5204466031135148E-2</c:v>
                </c:pt>
                <c:pt idx="23">
                  <c:v>8.0295425024804828E-2</c:v>
                </c:pt>
                <c:pt idx="24">
                  <c:v>8.5409702352544761E-2</c:v>
                </c:pt>
                <c:pt idx="25">
                  <c:v>9.054077565698436E-2</c:v>
                </c:pt>
                <c:pt idx="26">
                  <c:v>9.5682811167480092E-2</c:v>
                </c:pt>
                <c:pt idx="27">
                  <c:v>0.10083058793415736</c:v>
                </c:pt>
                <c:pt idx="28">
                  <c:v>0.10597943135325144</c:v>
                </c:pt>
                <c:pt idx="29">
                  <c:v>0.11112515472475219</c:v>
                </c:pt>
                <c:pt idx="30">
                  <c:v>0.11626400776647577</c:v>
                </c:pt>
                <c:pt idx="31">
                  <c:v>0.1213926311645652</c:v>
                </c:pt>
                <c:pt idx="32">
                  <c:v>0.12650801637278516</c:v>
                </c:pt>
                <c:pt idx="33">
                  <c:v>0.13160746998528836</c:v>
                </c:pt>
                <c:pt idx="34">
                  <c:v>0.13668858210280008</c:v>
                </c:pt>
                <c:pt idx="35">
                  <c:v>0.14174919819306395</c:v>
                </c:pt>
                <c:pt idx="36">
                  <c:v>0.14678739401513005</c:v>
                </c:pt>
                <c:pt idx="37">
                  <c:v>0.15180145323557678</c:v>
                </c:pt>
                <c:pt idx="38">
                  <c:v>0.15678984741464655</c:v>
                </c:pt>
                <c:pt idx="39">
                  <c:v>0.16175121808287196</c:v>
                </c:pt>
                <c:pt idx="40">
                  <c:v>0.16668436066523937</c:v>
                </c:pt>
                <c:pt idx="41">
                  <c:v>0.1715882100411964</c:v>
                </c:pt>
                <c:pt idx="42">
                  <c:v>0.17646182755567691</c:v>
                </c:pt>
                <c:pt idx="43">
                  <c:v>0.18130438931945236</c:v>
                </c:pt>
                <c:pt idx="44">
                  <c:v>0.18611517565707336</c:v>
                </c:pt>
                <c:pt idx="45">
                  <c:v>0.19089356157792692</c:v>
                </c:pt>
                <c:pt idx="46">
                  <c:v>0.19563900816088323</c:v>
                </c:pt>
                <c:pt idx="47">
                  <c:v>0.20035105475598752</c:v>
                </c:pt>
                <c:pt idx="48">
                  <c:v>0.20502931191794066</c:v>
                </c:pt>
                <c:pt idx="49">
                  <c:v>0.20967345499595266</c:v>
                </c:pt>
                <c:pt idx="50">
                  <c:v>0.21428321831314592</c:v>
                </c:pt>
                <c:pt idx="51">
                  <c:v>0.21885838987619818</c:v>
                </c:pt>
                <c:pt idx="52">
                  <c:v>0.2233988065625066</c:v>
                </c:pt>
                <c:pt idx="53">
                  <c:v>0.22790434973793267</c:v>
                </c:pt>
                <c:pt idx="54">
                  <c:v>0.23237494126327876</c:v>
                </c:pt>
                <c:pt idx="55">
                  <c:v>0.23681053985212089</c:v>
                </c:pt>
                <c:pt idx="56">
                  <c:v>0.24121113774658715</c:v>
                </c:pt>
                <c:pt idx="57">
                  <c:v>0.24557675768114973</c:v>
                </c:pt>
                <c:pt idx="58">
                  <c:v>0.24990745010760879</c:v>
                </c:pt>
                <c:pt idx="59">
                  <c:v>0.25420329065717673</c:v>
                </c:pt>
                <c:pt idx="60">
                  <c:v>0.25846437781801052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B3-494D-9DDE-CC58C4554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51492"/>
        <c:axId val="14257934"/>
      </c:scatterChart>
      <c:valAx>
        <c:axId val="56751492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浸水深(cm)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4257934"/>
        <c:crosses val="autoZero"/>
        <c:crossBetween val="midCat"/>
      </c:valAx>
      <c:valAx>
        <c:axId val="1425793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被害モードk以上となる確率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67514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非製造業 損失率曲線（被害区分の最大値）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'4_非製造業'!$M$9</c:f>
              <c:strCache>
                <c:ptCount val="1"/>
                <c:pt idx="0">
                  <c:v>損失率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'4_非製造業'!$A$10:$A$70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'4_非製造業'!$M$10:$M$70</c:f>
              <c:numCache>
                <c:formatCode>0.0%</c:formatCode>
                <c:ptCount val="61"/>
                <c:pt idx="0">
                  <c:v>0</c:v>
                </c:pt>
                <c:pt idx="1">
                  <c:v>0.13518177402008735</c:v>
                </c:pt>
                <c:pt idx="2">
                  <c:v>0.20428926422483717</c:v>
                </c:pt>
                <c:pt idx="3">
                  <c:v>0.24909950972967082</c:v>
                </c:pt>
                <c:pt idx="4">
                  <c:v>0.28364530174454555</c:v>
                </c:pt>
                <c:pt idx="5">
                  <c:v>0.31253791883840237</c:v>
                </c:pt>
                <c:pt idx="6">
                  <c:v>0.33776182523561377</c:v>
                </c:pt>
                <c:pt idx="7">
                  <c:v>0.36033947023277546</c:v>
                </c:pt>
                <c:pt idx="8">
                  <c:v>0.38087069236146032</c:v>
                </c:pt>
                <c:pt idx="9">
                  <c:v>0.39974327645571345</c:v>
                </c:pt>
                <c:pt idx="10">
                  <c:v>0.41722705291415274</c:v>
                </c:pt>
                <c:pt idx="11">
                  <c:v>0.43352059502505091</c:v>
                </c:pt>
                <c:pt idx="12">
                  <c:v>0.44877643912434417</c:v>
                </c:pt>
                <c:pt idx="13">
                  <c:v>0.46311569699949212</c:v>
                </c:pt>
                <c:pt idx="14">
                  <c:v>0.47663703978657745</c:v>
                </c:pt>
                <c:pt idx="15">
                  <c:v>0.48942250785987329</c:v>
                </c:pt>
                <c:pt idx="16">
                  <c:v>0.50154143427206244</c:v>
                </c:pt>
                <c:pt idx="17">
                  <c:v>0.51305319443257491</c:v>
                </c:pt>
                <c:pt idx="18">
                  <c:v>0.52400919551194725</c:v>
                </c:pt>
                <c:pt idx="19">
                  <c:v>0.53445435566439525</c:v>
                </c:pt>
                <c:pt idx="20">
                  <c:v>0.54442823004577767</c:v>
                </c:pt>
                <c:pt idx="21">
                  <c:v>0.55396588548109982</c:v>
                </c:pt>
                <c:pt idx="22">
                  <c:v>0.5630985918659267</c:v>
                </c:pt>
                <c:pt idx="23">
                  <c:v>0.57185437704656805</c:v>
                </c:pt>
                <c:pt idx="24">
                  <c:v>0.5802584780543637</c:v>
                </c:pt>
                <c:pt idx="25">
                  <c:v>0.58833371232115206</c:v>
                </c:pt>
                <c:pt idx="26">
                  <c:v>0.59610078619065965</c:v>
                </c:pt>
                <c:pt idx="27">
                  <c:v>0.60357855363938184</c:v>
                </c:pt>
                <c:pt idx="28">
                  <c:v>0.6107842349917072</c:v>
                </c:pt>
                <c:pt idx="29">
                  <c:v>0.6177336031499262</c:v>
                </c:pt>
                <c:pt idx="30">
                  <c:v>0.62444114319462041</c:v>
                </c:pt>
                <c:pt idx="31">
                  <c:v>0.63092018996803911</c:v>
                </c:pt>
                <c:pt idx="32">
                  <c:v>0.63718304731268893</c:v>
                </c:pt>
                <c:pt idx="33">
                  <c:v>0.64324109191701906</c:v>
                </c:pt>
                <c:pt idx="34">
                  <c:v>0.64910486416195801</c:v>
                </c:pt>
                <c:pt idx="35">
                  <c:v>0.65478414792512207</c:v>
                </c:pt>
                <c:pt idx="36">
                  <c:v>0.66028804095413929</c:v>
                </c:pt>
                <c:pt idx="37">
                  <c:v>0.66562501714512379</c:v>
                </c:pt>
                <c:pt idx="38">
                  <c:v>0.67080298184093334</c:v>
                </c:pt>
                <c:pt idx="39">
                  <c:v>0.67582932108450033</c:v>
                </c:pt>
                <c:pt idx="40">
                  <c:v>0.68071094561625445</c:v>
                </c:pt>
                <c:pt idx="41">
                  <c:v>0.68545433028457581</c:v>
                </c:pt>
                <c:pt idx="42">
                  <c:v>0.69006554943904486</c:v>
                </c:pt>
                <c:pt idx="43">
                  <c:v>0.694550308793902</c:v>
                </c:pt>
                <c:pt idx="44">
                  <c:v>0.69891397418036172</c:v>
                </c:pt>
                <c:pt idx="45">
                  <c:v>0.70316159754875651</c:v>
                </c:pt>
                <c:pt idx="46">
                  <c:v>0.70729794053285677</c:v>
                </c:pt>
                <c:pt idx="47">
                  <c:v>0.71132749584757282</c:v>
                </c:pt>
                <c:pt idx="48">
                  <c:v>0.71525450675626656</c:v>
                </c:pt>
                <c:pt idx="49">
                  <c:v>0.71908298481406441</c:v>
                </c:pt>
                <c:pt idx="50">
                  <c:v>0.72281672606801695</c:v>
                </c:pt>
                <c:pt idx="51">
                  <c:v>0.72645932587299411</c:v>
                </c:pt>
                <c:pt idx="52">
                  <c:v>0.73001419246329036</c:v>
                </c:pt>
                <c:pt idx="53">
                  <c:v>0.73348455940354573</c:v>
                </c:pt>
                <c:pt idx="54">
                  <c:v>0.73687349702840355</c:v>
                </c:pt>
                <c:pt idx="55">
                  <c:v>0.74018392296798363</c:v>
                </c:pt>
                <c:pt idx="56">
                  <c:v>0.74341861184549307</c:v>
                </c:pt>
                <c:pt idx="57">
                  <c:v>0.74658020422387994</c:v>
                </c:pt>
                <c:pt idx="58">
                  <c:v>0.74967121487020205</c:v>
                </c:pt>
                <c:pt idx="59">
                  <c:v>0.75269404039913368</c:v>
                </c:pt>
                <c:pt idx="60">
                  <c:v>0.75565096635065387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B-47D5-BBE7-A34E107F9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8978"/>
        <c:axId val="29232110"/>
      </c:scatterChart>
      <c:valAx>
        <c:axId val="11278978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浸水深(cm)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9232110"/>
        <c:crosses val="autoZero"/>
        <c:crossBetween val="midCat"/>
      </c:valAx>
      <c:valAx>
        <c:axId val="2923211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損失率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12789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卸売・小売業 フラジリティ曲線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'5_卸売・小売業'!$B$9</c:f>
              <c:strCache>
                <c:ptCount val="1"/>
                <c:pt idx="0">
                  <c:v>被害モード1以上率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'5_卸売・小売業'!$A$10:$A$70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'5_卸売・小売業'!$B$10:$B$70</c:f>
              <c:numCache>
                <c:formatCode>General</c:formatCode>
                <c:ptCount val="61"/>
                <c:pt idx="0">
                  <c:v>0</c:v>
                </c:pt>
                <c:pt idx="1">
                  <c:v>0.56642312205247503</c:v>
                </c:pt>
                <c:pt idx="2">
                  <c:v>0.73444509203301134</c:v>
                </c:pt>
                <c:pt idx="3">
                  <c:v>0.81456173721221337</c:v>
                </c:pt>
                <c:pt idx="4">
                  <c:v>0.86111680559830939</c:v>
                </c:pt>
                <c:pt idx="5">
                  <c:v>0.89123595986870552</c:v>
                </c:pt>
                <c:pt idx="6">
                  <c:v>0.91211116303792616</c:v>
                </c:pt>
                <c:pt idx="7">
                  <c:v>0.92729776228609262</c:v>
                </c:pt>
                <c:pt idx="8">
                  <c:v>0.93875287782184613</c:v>
                </c:pt>
                <c:pt idx="9">
                  <c:v>0.94764012009735721</c:v>
                </c:pt>
                <c:pt idx="10">
                  <c:v>0.95469280646289034</c:v>
                </c:pt>
                <c:pt idx="11">
                  <c:v>0.96039471543555466</c:v>
                </c:pt>
                <c:pt idx="12">
                  <c:v>0.9650770277786187</c:v>
                </c:pt>
                <c:pt idx="13">
                  <c:v>0.96897350044297137</c:v>
                </c:pt>
                <c:pt idx="14">
                  <c:v>0.97225342821155281</c:v>
                </c:pt>
                <c:pt idx="15">
                  <c:v>0.97504214652396615</c:v>
                </c:pt>
                <c:pt idx="16">
                  <c:v>0.97743422818739245</c:v>
                </c:pt>
                <c:pt idx="17">
                  <c:v>0.9795022305640797</c:v>
                </c:pt>
                <c:pt idx="18">
                  <c:v>0.98130264328343864</c:v>
                </c:pt>
                <c:pt idx="19">
                  <c:v>0.98288002398716945</c:v>
                </c:pt>
                <c:pt idx="20">
                  <c:v>0.98426993167484356</c:v>
                </c:pt>
                <c:pt idx="21">
                  <c:v>0.9855010443204002</c:v>
                </c:pt>
                <c:pt idx="22">
                  <c:v>0.98659671204987753</c:v>
                </c:pt>
                <c:pt idx="23">
                  <c:v>0.98757611276564317</c:v>
                </c:pt>
                <c:pt idx="24">
                  <c:v>0.98845512323043327</c:v>
                </c:pt>
                <c:pt idx="25">
                  <c:v>0.98924698350606555</c:v>
                </c:pt>
                <c:pt idx="26">
                  <c:v>0.98996280930562752</c:v>
                </c:pt>
                <c:pt idx="27">
                  <c:v>0.99061199103823427</c:v>
                </c:pt>
                <c:pt idx="28">
                  <c:v>0.99120250748357563</c:v>
                </c:pt>
                <c:pt idx="29">
                  <c:v>0.99174117447417542</c:v>
                </c:pt>
                <c:pt idx="30">
                  <c:v>0.99223384362095512</c:v>
                </c:pt>
                <c:pt idx="31">
                  <c:v>0.99268556229459104</c:v>
                </c:pt>
                <c:pt idx="32">
                  <c:v>0.99310070330730604</c:v>
                </c:pt>
                <c:pt idx="33">
                  <c:v>0.99348307071409458</c:v>
                </c:pt>
                <c:pt idx="34">
                  <c:v>0.99383598665489947</c:v>
                </c:pt>
                <c:pt idx="35">
                  <c:v>0.99416236304173988</c:v>
                </c:pt>
                <c:pt idx="36">
                  <c:v>0.99446476105341397</c:v>
                </c:pt>
                <c:pt idx="37">
                  <c:v>0.99474544076165428</c:v>
                </c:pt>
                <c:pt idx="38">
                  <c:v>0.99500640272388641</c:v>
                </c:pt>
                <c:pt idx="39">
                  <c:v>0.99524942300103458</c:v>
                </c:pt>
                <c:pt idx="40">
                  <c:v>0.99547608276642485</c:v>
                </c:pt>
                <c:pt idx="41">
                  <c:v>0.99568779344339009</c:v>
                </c:pt>
                <c:pt idx="42">
                  <c:v>0.99588581812956556</c:v>
                </c:pt>
                <c:pt idx="43">
                  <c:v>0.99607128992381955</c:v>
                </c:pt>
                <c:pt idx="44">
                  <c:v>0.99624522765877987</c:v>
                </c:pt>
                <c:pt idx="45">
                  <c:v>0.99640854945157631</c:v>
                </c:pt>
                <c:pt idx="46">
                  <c:v>0.99656208441281069</c:v>
                </c:pt>
                <c:pt idx="47">
                  <c:v>0.99670658279511781</c:v>
                </c:pt>
                <c:pt idx="48">
                  <c:v>0.99684272481510316</c:v>
                </c:pt>
                <c:pt idx="49">
                  <c:v>0.99697112834365176</c:v>
                </c:pt>
                <c:pt idx="50">
                  <c:v>0.99709235562786469</c:v>
                </c:pt>
                <c:pt idx="51">
                  <c:v>0.99720691918178439</c:v>
                </c:pt>
                <c:pt idx="52">
                  <c:v>0.99731528696154692</c:v>
                </c:pt>
                <c:pt idx="53">
                  <c:v>0.99741788692276834</c:v>
                </c:pt>
                <c:pt idx="54">
                  <c:v>0.99751511104315616</c:v>
                </c:pt>
                <c:pt idx="55">
                  <c:v>0.99760731888097409</c:v>
                </c:pt>
                <c:pt idx="56">
                  <c:v>0.99769484072964909</c:v>
                </c:pt>
                <c:pt idx="57">
                  <c:v>0.99777798042012078</c:v>
                </c:pt>
                <c:pt idx="58">
                  <c:v>0.99785701781522396</c:v>
                </c:pt>
                <c:pt idx="59">
                  <c:v>0.99793221103421637</c:v>
                </c:pt>
                <c:pt idx="60">
                  <c:v>0.99800379844032983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A9-430F-A2BB-602C6C1DD568}"/>
            </c:ext>
          </c:extLst>
        </c:ser>
        <c:ser>
          <c:idx val="1"/>
          <c:order val="1"/>
          <c:tx>
            <c:strRef>
              <c:f>'5_卸売・小売業'!$C$9</c:f>
              <c:strCache>
                <c:ptCount val="1"/>
                <c:pt idx="0">
                  <c:v>被害モード2以上率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'5_卸売・小売業'!$A$10:$A$70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'5_卸売・小売業'!$C$10:$C$70</c:f>
              <c:numCache>
                <c:formatCode>General</c:formatCode>
                <c:ptCount val="61"/>
                <c:pt idx="0">
                  <c:v>0</c:v>
                </c:pt>
                <c:pt idx="1">
                  <c:v>0.12494720259252633</c:v>
                </c:pt>
                <c:pt idx="2">
                  <c:v>0.24460432198955911</c:v>
                </c:pt>
                <c:pt idx="3">
                  <c:v>0.33613008683418721</c:v>
                </c:pt>
                <c:pt idx="4">
                  <c:v>0.40806313129674315</c:v>
                </c:pt>
                <c:pt idx="5">
                  <c:v>0.46622888912587446</c:v>
                </c:pt>
                <c:pt idx="6">
                  <c:v>0.5143547444998291</c:v>
                </c:pt>
                <c:pt idx="7">
                  <c:v>0.55490994949813133</c:v>
                </c:pt>
                <c:pt idx="8">
                  <c:v>0.58959671641940303</c:v>
                </c:pt>
                <c:pt idx="9">
                  <c:v>0.61963020394037283</c:v>
                </c:pt>
                <c:pt idx="10">
                  <c:v>0.6459038142553607</c:v>
                </c:pt>
                <c:pt idx="11">
                  <c:v>0.66909088634787239</c:v>
                </c:pt>
                <c:pt idx="12">
                  <c:v>0.68970969649231151</c:v>
                </c:pt>
                <c:pt idx="13">
                  <c:v>0.70816642856884038</c:v>
                </c:pt>
                <c:pt idx="14">
                  <c:v>0.72478442674761023</c:v>
                </c:pt>
                <c:pt idx="15">
                  <c:v>0.73982462583183861</c:v>
                </c:pt>
                <c:pt idx="16">
                  <c:v>0.75350014346928207</c:v>
                </c:pt>
                <c:pt idx="17">
                  <c:v>0.76598691050517775</c:v>
                </c:pt>
                <c:pt idx="18">
                  <c:v>0.77743155206639747</c:v>
                </c:pt>
                <c:pt idx="19">
                  <c:v>0.78795732252024431</c:v>
                </c:pt>
                <c:pt idx="20">
                  <c:v>0.797668638078596</c:v>
                </c:pt>
                <c:pt idx="21">
                  <c:v>0.80665458255376032</c:v>
                </c:pt>
                <c:pt idx="22">
                  <c:v>0.81499165024211617</c:v>
                </c:pt>
                <c:pt idx="23">
                  <c:v>0.82274591453309698</c:v>
                </c:pt>
                <c:pt idx="24">
                  <c:v>0.82997475898620743</c:v>
                </c:pt>
                <c:pt idx="25">
                  <c:v>0.83672827136550365</c:v>
                </c:pt>
                <c:pt idx="26">
                  <c:v>0.84305037539737893</c:v>
                </c:pt>
                <c:pt idx="27">
                  <c:v>0.84897975651531332</c:v>
                </c:pt>
                <c:pt idx="28">
                  <c:v>0.8545506243792016</c:v>
                </c:pt>
                <c:pt idx="29">
                  <c:v>0.85979334502707938</c:v>
                </c:pt>
                <c:pt idx="30">
                  <c:v>0.86473496812111406</c:v>
                </c:pt>
                <c:pt idx="31">
                  <c:v>0.86939966918563716</c:v>
                </c:pt>
                <c:pt idx="32">
                  <c:v>0.8738091225097484</c:v>
                </c:pt>
                <c:pt idx="33">
                  <c:v>0.87798281715035609</c:v>
                </c:pt>
                <c:pt idx="34">
                  <c:v>0.88193832597177524</c:v>
                </c:pt>
                <c:pt idx="35">
                  <c:v>0.88569153571251913</c:v>
                </c:pt>
                <c:pt idx="36">
                  <c:v>0.88925684454484077</c:v>
                </c:pt>
                <c:pt idx="37">
                  <c:v>0.8926473323888775</c:v>
                </c:pt>
                <c:pt idx="38">
                  <c:v>0.89587490828710981</c:v>
                </c:pt>
                <c:pt idx="39">
                  <c:v>0.89895043838068778</c:v>
                </c:pt>
                <c:pt idx="40">
                  <c:v>0.90188385741496258</c:v>
                </c:pt>
                <c:pt idx="41">
                  <c:v>0.9046842662051503</c:v>
                </c:pt>
                <c:pt idx="42">
                  <c:v>0.9073600170897681</c:v>
                </c:pt>
                <c:pt idx="43">
                  <c:v>0.90991878907024859</c:v>
                </c:pt>
                <c:pt idx="44">
                  <c:v>0.9123676540650667</c:v>
                </c:pt>
                <c:pt idx="45">
                  <c:v>0.9147131354842124</c:v>
                </c:pt>
                <c:pt idx="46">
                  <c:v>0.91696126014572177</c:v>
                </c:pt>
                <c:pt idx="47">
                  <c:v>0.91911760440300616</c:v>
                </c:pt>
                <c:pt idx="48">
                  <c:v>0.9211873352241341</c:v>
                </c:pt>
                <c:pt idx="49">
                  <c:v>0.92317524685739483</c:v>
                </c:pt>
                <c:pt idx="50">
                  <c:v>0.92508579362772558</c:v>
                </c:pt>
                <c:pt idx="51">
                  <c:v>0.92692311933291238</c:v>
                </c:pt>
                <c:pt idx="52">
                  <c:v>0.92869108364446773</c:v>
                </c:pt>
                <c:pt idx="53">
                  <c:v>0.93039328586377135</c:v>
                </c:pt>
                <c:pt idx="54">
                  <c:v>0.93203308633783033</c:v>
                </c:pt>
                <c:pt idx="55">
                  <c:v>0.93361362579954776</c:v>
                </c:pt>
                <c:pt idx="56">
                  <c:v>0.93513784286360246</c:v>
                </c:pt>
                <c:pt idx="57">
                  <c:v>0.9366084898800402</c:v>
                </c:pt>
                <c:pt idx="58">
                  <c:v>0.93802814732271511</c:v>
                </c:pt>
                <c:pt idx="59">
                  <c:v>0.9393992368681805</c:v>
                </c:pt>
                <c:pt idx="60">
                  <c:v>0.94072403330200038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A9-430F-A2BB-602C6C1DD568}"/>
            </c:ext>
          </c:extLst>
        </c:ser>
        <c:ser>
          <c:idx val="2"/>
          <c:order val="2"/>
          <c:tx>
            <c:strRef>
              <c:f>'5_卸売・小売業'!$D$9</c:f>
              <c:strCache>
                <c:ptCount val="1"/>
                <c:pt idx="0">
                  <c:v>被害モード3以上率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'5_卸売・小売業'!$A$10:$A$70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'5_卸売・小売業'!$D$10:$D$70</c:f>
              <c:numCache>
                <c:formatCode>General</c:formatCode>
                <c:ptCount val="61"/>
                <c:pt idx="0">
                  <c:v>0</c:v>
                </c:pt>
                <c:pt idx="1">
                  <c:v>3.3917405277507903E-2</c:v>
                </c:pt>
                <c:pt idx="2">
                  <c:v>8.580251024722764E-2</c:v>
                </c:pt>
                <c:pt idx="3">
                  <c:v>0.13598333747303193</c:v>
                </c:pt>
                <c:pt idx="4">
                  <c:v>0.18193201758939609</c:v>
                </c:pt>
                <c:pt idx="5">
                  <c:v>0.22355268145446669</c:v>
                </c:pt>
                <c:pt idx="6">
                  <c:v>0.26124660913999065</c:v>
                </c:pt>
                <c:pt idx="7">
                  <c:v>0.2954886380871527</c:v>
                </c:pt>
                <c:pt idx="8">
                  <c:v>0.32671980180422378</c:v>
                </c:pt>
                <c:pt idx="9">
                  <c:v>0.35532361714757377</c:v>
                </c:pt>
                <c:pt idx="10">
                  <c:v>0.38162649717396785</c:v>
                </c:pt>
                <c:pt idx="11">
                  <c:v>0.40590468629281429</c:v>
                </c:pt>
                <c:pt idx="12">
                  <c:v>0.42839217713865041</c:v>
                </c:pt>
                <c:pt idx="13">
                  <c:v>0.4492879163020414</c:v>
                </c:pt>
                <c:pt idx="14">
                  <c:v>0.46876189620810083</c:v>
                </c:pt>
                <c:pt idx="15">
                  <c:v>0.48696015831305295</c:v>
                </c:pt>
                <c:pt idx="16">
                  <c:v>0.50400885733326617</c:v>
                </c:pt>
                <c:pt idx="17">
                  <c:v>0.52001755407552985</c:v>
                </c:pt>
                <c:pt idx="18">
                  <c:v>0.53508188743720475</c:v>
                </c:pt>
                <c:pt idx="19">
                  <c:v>0.54928575069600183</c:v>
                </c:pt>
                <c:pt idx="20">
                  <c:v>0.5627030726099278</c:v>
                </c:pt>
                <c:pt idx="21">
                  <c:v>0.57539928288870845</c:v>
                </c:pt>
                <c:pt idx="22">
                  <c:v>0.58743252465326035</c:v>
                </c:pt>
                <c:pt idx="23">
                  <c:v>0.5988546631286602</c:v>
                </c:pt>
                <c:pt idx="24">
                  <c:v>0.60971212937975949</c:v>
                </c:pt>
                <c:pt idx="25">
                  <c:v>0.62004662978519243</c:v>
                </c:pt>
                <c:pt idx="26">
                  <c:v>0.62989574563826778</c:v>
                </c:pt>
                <c:pt idx="27">
                  <c:v>0.63929344234905017</c:v>
                </c:pt>
                <c:pt idx="28">
                  <c:v>0.64827050387937302</c:v>
                </c:pt>
                <c:pt idx="29">
                  <c:v>0.65685490502470678</c:v>
                </c:pt>
                <c:pt idx="30">
                  <c:v>0.66507213177525726</c:v>
                </c:pt>
                <c:pt idx="31">
                  <c:v>0.6729454580997396</c:v>
                </c:pt>
                <c:pt idx="32">
                  <c:v>0.6804961859893407</c:v>
                </c:pt>
                <c:pt idx="33">
                  <c:v>0.68774385439265651</c:v>
                </c:pt>
                <c:pt idx="34">
                  <c:v>0.69470642170050212</c:v>
                </c:pt>
                <c:pt idx="35">
                  <c:v>0.7014004256528783</c:v>
                </c:pt>
                <c:pt idx="36">
                  <c:v>0.70784112390064235</c:v>
                </c:pt>
                <c:pt idx="37">
                  <c:v>0.71404261793170287</c:v>
                </c:pt>
                <c:pt idx="38">
                  <c:v>0.72001796264253981</c:v>
                </c:pt>
                <c:pt idx="39">
                  <c:v>0.7257792634821465</c:v>
                </c:pt>
                <c:pt idx="40">
                  <c:v>0.73133776280271867</c:v>
                </c:pt>
                <c:pt idx="41">
                  <c:v>0.73670391680803715</c:v>
                </c:pt>
                <c:pt idx="42">
                  <c:v>0.74188746428741381</c:v>
                </c:pt>
                <c:pt idx="43">
                  <c:v>0.74689748815298462</c:v>
                </c:pt>
                <c:pt idx="44">
                  <c:v>0.751742470655137</c:v>
                </c:pt>
                <c:pt idx="45">
                  <c:v>0.75643034303025081</c:v>
                </c:pt>
                <c:pt idx="46">
                  <c:v>0.76096853023284039</c:v>
                </c:pt>
                <c:pt idx="47">
                  <c:v>0.76536399131750177</c:v>
                </c:pt>
                <c:pt idx="48">
                  <c:v>0.76962325596222692</c:v>
                </c:pt>
                <c:pt idx="49">
                  <c:v>0.77375245756157141</c:v>
                </c:pt>
                <c:pt idx="50">
                  <c:v>0.77775736326410705</c:v>
                </c:pt>
                <c:pt idx="51">
                  <c:v>0.78164340128215226</c:v>
                </c:pt>
                <c:pt idx="52">
                  <c:v>0.78541568576176379</c:v>
                </c:pt>
                <c:pt idx="53">
                  <c:v>0.78907903946641389</c:v>
                </c:pt>
                <c:pt idx="54">
                  <c:v>0.79263801449784799</c:v>
                </c:pt>
                <c:pt idx="55">
                  <c:v>0.79609691125164073</c:v>
                </c:pt>
                <c:pt idx="56">
                  <c:v>0.79945979578236603</c:v>
                </c:pt>
                <c:pt idx="57">
                  <c:v>0.80273051573357956</c:v>
                </c:pt>
                <c:pt idx="58">
                  <c:v>0.80591271497058581</c:v>
                </c:pt>
                <c:pt idx="59">
                  <c:v>0.80900984703887358</c:v>
                </c:pt>
                <c:pt idx="60">
                  <c:v>0.81202518755785336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A9-430F-A2BB-602C6C1DD568}"/>
            </c:ext>
          </c:extLst>
        </c:ser>
        <c:ser>
          <c:idx val="3"/>
          <c:order val="3"/>
          <c:tx>
            <c:strRef>
              <c:f>'5_卸売・小売業'!$E$9</c:f>
              <c:strCache>
                <c:ptCount val="1"/>
                <c:pt idx="0">
                  <c:v>被害モード4以上率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'5_卸売・小売業'!$A$10:$A$70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'5_卸売・小売業'!$E$10:$E$70</c:f>
              <c:numCache>
                <c:formatCode>General</c:formatCode>
                <c:ptCount val="61"/>
                <c:pt idx="0">
                  <c:v>0</c:v>
                </c:pt>
                <c:pt idx="1">
                  <c:v>1.4249757801449634E-2</c:v>
                </c:pt>
                <c:pt idx="2">
                  <c:v>4.1698856738167839E-2</c:v>
                </c:pt>
                <c:pt idx="3">
                  <c:v>7.1763356985954166E-2</c:v>
                </c:pt>
                <c:pt idx="4">
                  <c:v>0.10163944331484336</c:v>
                </c:pt>
                <c:pt idx="5">
                  <c:v>0.13040301313770136</c:v>
                </c:pt>
                <c:pt idx="6">
                  <c:v>0.15775069251541637</c:v>
                </c:pt>
                <c:pt idx="7">
                  <c:v>0.18361907793394119</c:v>
                </c:pt>
                <c:pt idx="8">
                  <c:v>0.20804384796393083</c:v>
                </c:pt>
                <c:pt idx="9">
                  <c:v>0.23110112107623618</c:v>
                </c:pt>
                <c:pt idx="10">
                  <c:v>0.25288129037295148</c:v>
                </c:pt>
                <c:pt idx="11">
                  <c:v>0.27347695356842378</c:v>
                </c:pt>
                <c:pt idx="12">
                  <c:v>0.29297736831649474</c:v>
                </c:pt>
                <c:pt idx="13">
                  <c:v>0.31146605870133304</c:v>
                </c:pt>
                <c:pt idx="14">
                  <c:v>0.32901997807749117</c:v>
                </c:pt>
                <c:pt idx="15">
                  <c:v>0.34570944129289094</c:v>
                </c:pt>
                <c:pt idx="16">
                  <c:v>0.36159842613644966</c:v>
                </c:pt>
                <c:pt idx="17">
                  <c:v>0.37674503692469774</c:v>
                </c:pt>
                <c:pt idx="18">
                  <c:v>0.39120202264249965</c:v>
                </c:pt>
                <c:pt idx="19">
                  <c:v>0.4050172945425014</c:v>
                </c:pt>
                <c:pt idx="20">
                  <c:v>0.41823441621276702</c:v>
                </c:pt>
                <c:pt idx="21">
                  <c:v>0.43089305425397628</c:v>
                </c:pt>
                <c:pt idx="22">
                  <c:v>0.44302938580357143</c:v>
                </c:pt>
                <c:pt idx="23">
                  <c:v>0.45467646337390488</c:v>
                </c:pt>
                <c:pt idx="24">
                  <c:v>0.4658645395627134</c:v>
                </c:pt>
                <c:pt idx="25">
                  <c:v>0.47662135510488185</c:v>
                </c:pt>
                <c:pt idx="26">
                  <c:v>0.48697239400162795</c:v>
                </c:pt>
                <c:pt idx="27">
                  <c:v>0.49694110939031444</c:v>
                </c:pt>
                <c:pt idx="28">
                  <c:v>0.50654912357659143</c:v>
                </c:pt>
                <c:pt idx="29">
                  <c:v>0.51581640533679907</c:v>
                </c:pt>
                <c:pt idx="30">
                  <c:v>0.52476142726564245</c:v>
                </c:pt>
                <c:pt idx="31">
                  <c:v>0.53340130562037091</c:v>
                </c:pt>
                <c:pt idx="32">
                  <c:v>0.54175192481198997</c:v>
                </c:pt>
                <c:pt idx="33">
                  <c:v>0.5498280484223308</c:v>
                </c:pt>
                <c:pt idx="34">
                  <c:v>0.55764341838440057</c:v>
                </c:pt>
                <c:pt idx="35">
                  <c:v>0.5652108437513288</c:v>
                </c:pt>
                <c:pt idx="36">
                  <c:v>0.57254228029415921</c:v>
                </c:pt>
                <c:pt idx="37">
                  <c:v>0.57964890200797692</c:v>
                </c:pt>
                <c:pt idx="38">
                  <c:v>0.58654116546664536</c:v>
                </c:pt>
                <c:pt idx="39">
                  <c:v>0.59322886784599571</c:v>
                </c:pt>
                <c:pt idx="40">
                  <c:v>0.59972119933124846</c:v>
                </c:pt>
                <c:pt idx="41">
                  <c:v>0.60602679053448516</c:v>
                </c:pt>
                <c:pt idx="42">
                  <c:v>0.61215375547020712</c:v>
                </c:pt>
                <c:pt idx="43">
                  <c:v>0.61810973056969742</c:v>
                </c:pt>
                <c:pt idx="44">
                  <c:v>0.62390191015656904</c:v>
                </c:pt>
                <c:pt idx="45">
                  <c:v>0.62953707875528608</c:v>
                </c:pt>
                <c:pt idx="46">
                  <c:v>0.63502164056047761</c:v>
                </c:pt>
                <c:pt idx="47">
                  <c:v>0.64036164635661041</c:v>
                </c:pt>
                <c:pt idx="48">
                  <c:v>0.64556281814424799</c:v>
                </c:pt>
                <c:pt idx="49">
                  <c:v>0.65063057170001615</c:v>
                </c:pt>
                <c:pt idx="50">
                  <c:v>0.65557003727194663</c:v>
                </c:pt>
                <c:pt idx="51">
                  <c:v>0.66038607858957143</c:v>
                </c:pt>
                <c:pt idx="52">
                  <c:v>0.6650833103485827</c:v>
                </c:pt>
                <c:pt idx="53">
                  <c:v>0.66966611431267253</c:v>
                </c:pt>
                <c:pt idx="54">
                  <c:v>0.67413865416003482</c:v>
                </c:pt>
                <c:pt idx="55">
                  <c:v>0.67850488918865004</c:v>
                </c:pt>
                <c:pt idx="56">
                  <c:v>0.68276858698268983</c:v>
                </c:pt>
                <c:pt idx="57">
                  <c:v>0.68693333513192922</c:v>
                </c:pt>
                <c:pt idx="58">
                  <c:v>0.6910025520868136</c:v>
                </c:pt>
                <c:pt idx="59">
                  <c:v>0.69497949722361319</c:v>
                </c:pt>
                <c:pt idx="60">
                  <c:v>0.69886728018679312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A9-430F-A2BB-602C6C1DD568}"/>
            </c:ext>
          </c:extLst>
        </c:ser>
        <c:ser>
          <c:idx val="4"/>
          <c:order val="4"/>
          <c:tx>
            <c:strRef>
              <c:f>'5_卸売・小売業'!$F$9</c:f>
              <c:strCache>
                <c:ptCount val="1"/>
                <c:pt idx="0">
                  <c:v>被害モード5以上率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'5_卸売・小売業'!$A$10:$A$70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'5_卸売・小売業'!$F$10:$F$70</c:f>
              <c:numCache>
                <c:formatCode>General</c:formatCode>
                <c:ptCount val="61"/>
                <c:pt idx="0">
                  <c:v>0</c:v>
                </c:pt>
                <c:pt idx="1">
                  <c:v>6.4167915518672999E-3</c:v>
                </c:pt>
                <c:pt idx="2">
                  <c:v>2.1213038242656235E-2</c:v>
                </c:pt>
                <c:pt idx="3">
                  <c:v>3.9136431649234707E-2</c:v>
                </c:pt>
                <c:pt idx="4">
                  <c:v>5.817516605813846E-2</c:v>
                </c:pt>
                <c:pt idx="5">
                  <c:v>7.744038416191279E-2</c:v>
                </c:pt>
                <c:pt idx="6">
                  <c:v>9.6499465624182074E-2</c:v>
                </c:pt>
                <c:pt idx="7">
                  <c:v>0.11513337090065792</c:v>
                </c:pt>
                <c:pt idx="8">
                  <c:v>0.13323239142093557</c:v>
                </c:pt>
                <c:pt idx="9">
                  <c:v>0.15074611977235905</c:v>
                </c:pt>
                <c:pt idx="10">
                  <c:v>0.16765749818399439</c:v>
                </c:pt>
                <c:pt idx="11">
                  <c:v>0.1839685719787271</c:v>
                </c:pt>
                <c:pt idx="12">
                  <c:v>0.19969233365831937</c:v>
                </c:pt>
                <c:pt idx="13">
                  <c:v>0.2148479077344071</c:v>
                </c:pt>
                <c:pt idx="14">
                  <c:v>0.22945764581173056</c:v>
                </c:pt>
                <c:pt idx="15">
                  <c:v>0.24354535077179501</c:v>
                </c:pt>
                <c:pt idx="16">
                  <c:v>0.2571351861872393</c:v>
                </c:pt>
                <c:pt idx="17">
                  <c:v>0.27025101029912046</c:v>
                </c:pt>
                <c:pt idx="18">
                  <c:v>0.28291597721057726</c:v>
                </c:pt>
                <c:pt idx="19">
                  <c:v>0.29515230811156912</c:v>
                </c:pt>
                <c:pt idx="20">
                  <c:v>0.30698117135043801</c:v>
                </c:pt>
                <c:pt idx="21">
                  <c:v>0.31842263222408779</c:v>
                </c:pt>
                <c:pt idx="22">
                  <c:v>0.32949564714799112</c:v>
                </c:pt>
                <c:pt idx="23">
                  <c:v>0.34021808564027423</c:v>
                </c:pt>
                <c:pt idx="24">
                  <c:v>0.35060676921984563</c:v>
                </c:pt>
                <c:pt idx="25">
                  <c:v>0.36067752002425613</c:v>
                </c:pt>
                <c:pt idx="26">
                  <c:v>0.37044521440247669</c:v>
                </c:pt>
                <c:pt idx="27">
                  <c:v>0.37992383837070404</c:v>
                </c:pt>
                <c:pt idx="28">
                  <c:v>0.38912654291484994</c:v>
                </c:pt>
                <c:pt idx="29">
                  <c:v>0.39806569786146895</c:v>
                </c:pt>
                <c:pt idx="30">
                  <c:v>0.40675294353700808</c:v>
                </c:pt>
                <c:pt idx="31">
                  <c:v>0.41519923977107182</c:v>
                </c:pt>
                <c:pt idx="32">
                  <c:v>0.42341491202468379</c:v>
                </c:pt>
                <c:pt idx="33">
                  <c:v>0.4314096945742773</c:v>
                </c:pt>
                <c:pt idx="34">
                  <c:v>0.43919277078004315</c:v>
                </c:pt>
                <c:pt idx="35">
                  <c:v>0.44677281052959933</c:v>
                </c:pt>
                <c:pt idx="36">
                  <c:v>0.4541580049858685</c:v>
                </c:pt>
                <c:pt idx="37">
                  <c:v>0.46135609878929645</c:v>
                </c:pt>
                <c:pt idx="38">
                  <c:v>0.46837441987450978</c:v>
                </c:pt>
                <c:pt idx="39">
                  <c:v>0.47521990706387907</c:v>
                </c:pt>
                <c:pt idx="40">
                  <c:v>0.48189913559788022</c:v>
                </c:pt>
                <c:pt idx="41">
                  <c:v>0.48841834075638718</c:v>
                </c:pt>
                <c:pt idx="42">
                  <c:v>0.49478343971737432</c:v>
                </c:pt>
                <c:pt idx="43">
                  <c:v>0.50100005179080287</c:v>
                </c:pt>
                <c:pt idx="44">
                  <c:v>0.50707351715629323</c:v>
                </c:pt>
                <c:pt idx="45">
                  <c:v>0.5130089142239691</c:v>
                </c:pt>
                <c:pt idx="46">
                  <c:v>0.51881107572882512</c:v>
                </c:pt>
                <c:pt idx="47">
                  <c:v>0.52448460366030947</c:v>
                </c:pt>
                <c:pt idx="48">
                  <c:v>0.53003388312061128</c:v>
                </c:pt>
                <c:pt idx="49">
                  <c:v>0.53546309519745461</c:v>
                </c:pt>
                <c:pt idx="50">
                  <c:v>0.5407762289300555</c:v>
                </c:pt>
                <c:pt idx="51">
                  <c:v>0.54597709244027459</c:v>
                </c:pt>
                <c:pt idx="52">
                  <c:v>0.55106932329491587</c:v>
                </c:pt>
                <c:pt idx="53">
                  <c:v>0.55605639815951413</c:v>
                </c:pt>
                <c:pt idx="54">
                  <c:v>0.56094164179883921</c:v>
                </c:pt>
                <c:pt idx="55">
                  <c:v>0.56572823547464846</c:v>
                </c:pt>
                <c:pt idx="56">
                  <c:v>0.57041922478694818</c:v>
                </c:pt>
                <c:pt idx="57">
                  <c:v>0.57501752700111153</c:v>
                </c:pt>
                <c:pt idx="58">
                  <c:v>0.57952593789964935</c:v>
                </c:pt>
                <c:pt idx="59">
                  <c:v>0.58394713819418176</c:v>
                </c:pt>
                <c:pt idx="60">
                  <c:v>0.58828369953020299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A9-430F-A2BB-602C6C1DD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26096"/>
        <c:axId val="59609402"/>
      </c:scatterChart>
      <c:valAx>
        <c:axId val="22126096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9609402"/>
        <c:crosses val="autoZero"/>
        <c:crossBetween val="midCat"/>
      </c:valAx>
      <c:valAx>
        <c:axId val="5960940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被害モード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以上となる確率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21260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卸売・小売業 損失率曲線（被害区分の最大値）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'5_卸売・小売業'!$M$9</c:f>
              <c:strCache>
                <c:ptCount val="1"/>
                <c:pt idx="0">
                  <c:v>損失率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'5_卸売・小売業'!$A$10:$A$70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'5_卸売・小売業'!$M$10:$M$70</c:f>
              <c:numCache>
                <c:formatCode>0.0%</c:formatCode>
                <c:ptCount val="61"/>
                <c:pt idx="0">
                  <c:v>0</c:v>
                </c:pt>
                <c:pt idx="1">
                  <c:v>0.18410107530603151</c:v>
                </c:pt>
                <c:pt idx="2">
                  <c:v>0.27458911340244035</c:v>
                </c:pt>
                <c:pt idx="3">
                  <c:v>0.33634693709267471</c:v>
                </c:pt>
                <c:pt idx="4">
                  <c:v>0.38384142172415253</c:v>
                </c:pt>
                <c:pt idx="5">
                  <c:v>0.42255887299910816</c:v>
                </c:pt>
                <c:pt idx="6">
                  <c:v>0.45524067960916714</c:v>
                </c:pt>
                <c:pt idx="7">
                  <c:v>0.4834802862480011</c:v>
                </c:pt>
                <c:pt idx="8">
                  <c:v>0.50829716534805147</c:v>
                </c:pt>
                <c:pt idx="9">
                  <c:v>0.53038826543499729</c:v>
                </c:pt>
                <c:pt idx="10">
                  <c:v>0.55025372284739693</c:v>
                </c:pt>
                <c:pt idx="11">
                  <c:v>0.56826597225219666</c:v>
                </c:pt>
                <c:pt idx="12">
                  <c:v>0.58471056396570131</c:v>
                </c:pt>
                <c:pt idx="13">
                  <c:v>0.59981166090710392</c:v>
                </c:pt>
                <c:pt idx="14">
                  <c:v>0.6137486990846126</c:v>
                </c:pt>
                <c:pt idx="15">
                  <c:v>0.62666768393832761</c:v>
                </c:pt>
                <c:pt idx="16">
                  <c:v>0.6386890897866766</c:v>
                </c:pt>
                <c:pt idx="17">
                  <c:v>0.64991353035481358</c:v>
                </c:pt>
                <c:pt idx="18">
                  <c:v>0.66042592181419291</c:v>
                </c:pt>
                <c:pt idx="19">
                  <c:v>0.67029859929338598</c:v>
                </c:pt>
                <c:pt idx="20">
                  <c:v>0.6795936901578008</c:v>
                </c:pt>
                <c:pt idx="21">
                  <c:v>0.68836494880122245</c:v>
                </c:pt>
                <c:pt idx="22">
                  <c:v>0.69665919432164836</c:v>
                </c:pt>
                <c:pt idx="23">
                  <c:v>0.70451745067696325</c:v>
                </c:pt>
                <c:pt idx="24">
                  <c:v>0.71197586075549157</c:v>
                </c:pt>
                <c:pt idx="25">
                  <c:v>0.7190664264323483</c:v>
                </c:pt>
                <c:pt idx="26">
                  <c:v>0.7258176131258105</c:v>
                </c:pt>
                <c:pt idx="27">
                  <c:v>0.73225484772126703</c:v>
                </c:pt>
                <c:pt idx="28">
                  <c:v>0.73840093176351129</c:v>
                </c:pt>
                <c:pt idx="29">
                  <c:v>0.74427638671815721</c:v>
                </c:pt>
                <c:pt idx="30">
                  <c:v>0.74989974432287876</c:v>
                </c:pt>
                <c:pt idx="31">
                  <c:v>0.75528779221515485</c:v>
                </c:pt>
                <c:pt idx="32">
                  <c:v>0.76045578287586568</c:v>
                </c:pt>
                <c:pt idx="33">
                  <c:v>0.76541761228505423</c:v>
                </c:pt>
                <c:pt idx="34">
                  <c:v>0.77018597341745854</c:v>
                </c:pt>
                <c:pt idx="35">
                  <c:v>0.77477248871744364</c:v>
                </c:pt>
                <c:pt idx="36">
                  <c:v>0.77918782491743499</c:v>
                </c:pt>
                <c:pt idx="37">
                  <c:v>0.78344179295068483</c:v>
                </c:pt>
                <c:pt idx="38">
                  <c:v>0.78754343522083181</c:v>
                </c:pt>
                <c:pt idx="39">
                  <c:v>0.79150110209925451</c:v>
                </c:pt>
                <c:pt idx="40">
                  <c:v>0.79532251920550179</c:v>
                </c:pt>
                <c:pt idx="41">
                  <c:v>0.79901484676995582</c:v>
                </c:pt>
                <c:pt idx="42">
                  <c:v>0.80258473216895543</c:v>
                </c:pt>
                <c:pt idx="43">
                  <c:v>0.80603835655129807</c:v>
                </c:pt>
                <c:pt idx="44">
                  <c:v>0.80938147633386059</c:v>
                </c:pt>
                <c:pt idx="45">
                  <c:v>0.81261946022719966</c:v>
                </c:pt>
                <c:pt idx="46">
                  <c:v>0.81575732235479737</c:v>
                </c:pt>
                <c:pt idx="47">
                  <c:v>0.81879975194842891</c:v>
                </c:pt>
                <c:pt idx="48">
                  <c:v>0.82175114003406435</c:v>
                </c:pt>
                <c:pt idx="49">
                  <c:v>0.82461560346540241</c:v>
                </c:pt>
                <c:pt idx="50">
                  <c:v>0.82739700661372195</c:v>
                </c:pt>
                <c:pt idx="51">
                  <c:v>0.83009898098167545</c:v>
                </c:pt>
                <c:pt idx="52">
                  <c:v>0.83272494297372357</c:v>
                </c:pt>
                <c:pt idx="53">
                  <c:v>0.83527811002609065</c:v>
                </c:pt>
                <c:pt idx="54">
                  <c:v>0.83776151527359777</c:v>
                </c:pt>
                <c:pt idx="55">
                  <c:v>0.840178020908803</c:v>
                </c:pt>
                <c:pt idx="56">
                  <c:v>0.84253033037000269</c:v>
                </c:pt>
                <c:pt idx="57">
                  <c:v>0.84482099947833567</c:v>
                </c:pt>
                <c:pt idx="58">
                  <c:v>0.84705244663011814</c:v>
                </c:pt>
                <c:pt idx="59">
                  <c:v>0.84922696213827775</c:v>
                </c:pt>
                <c:pt idx="60">
                  <c:v>0.85134671680608509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ED-4A03-9BB8-26B7277F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3122"/>
        <c:axId val="33466296"/>
      </c:scatterChart>
      <c:valAx>
        <c:axId val="12553122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3466296"/>
        <c:crosses val="autoZero"/>
        <c:crossBetween val="midCat"/>
      </c:valAx>
      <c:valAx>
        <c:axId val="3346629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損失率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255312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サービス業 フラジリティ曲線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'6_サービス業'!$B$9</c:f>
              <c:strCache>
                <c:ptCount val="1"/>
                <c:pt idx="0">
                  <c:v>被害モード1以上率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'6_サービス業'!$A$10:$A$70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'6_サービス業'!$B$10:$B$70</c:f>
              <c:numCache>
                <c:formatCode>General</c:formatCode>
                <c:ptCount val="61"/>
                <c:pt idx="0">
                  <c:v>0</c:v>
                </c:pt>
                <c:pt idx="1">
                  <c:v>0.81479581375998411</c:v>
                </c:pt>
                <c:pt idx="2">
                  <c:v>0.87621878849725099</c:v>
                </c:pt>
                <c:pt idx="3">
                  <c:v>0.90468553175067801</c:v>
                </c:pt>
                <c:pt idx="4">
                  <c:v>0.92173981927798643</c:v>
                </c:pt>
                <c:pt idx="5">
                  <c:v>0.93329124436211464</c:v>
                </c:pt>
                <c:pt idx="6">
                  <c:v>0.94171126112141401</c:v>
                </c:pt>
                <c:pt idx="7">
                  <c:v>0.94815840251304495</c:v>
                </c:pt>
                <c:pt idx="8">
                  <c:v>0.95327309436664731</c:v>
                </c:pt>
                <c:pt idx="9">
                  <c:v>0.95744104801618413</c:v>
                </c:pt>
                <c:pt idx="10">
                  <c:v>0.96090974711971544</c:v>
                </c:pt>
                <c:pt idx="11">
                  <c:v>0.96384592579840933</c:v>
                </c:pt>
                <c:pt idx="12">
                  <c:v>0.96636636528563535</c:v>
                </c:pt>
                <c:pt idx="13">
                  <c:v>0.96855549374600158</c:v>
                </c:pt>
                <c:pt idx="14">
                  <c:v>0.97047598094271559</c:v>
                </c:pt>
                <c:pt idx="15">
                  <c:v>0.97217539529664532</c:v>
                </c:pt>
                <c:pt idx="16">
                  <c:v>0.97369054010219347</c:v>
                </c:pt>
                <c:pt idx="17">
                  <c:v>0.97505036602374062</c:v>
                </c:pt>
                <c:pt idx="18">
                  <c:v>0.97627797982666586</c:v>
                </c:pt>
                <c:pt idx="19">
                  <c:v>0.97739206216603081</c:v>
                </c:pt>
                <c:pt idx="20">
                  <c:v>0.97840788884090346</c:v>
                </c:pt>
                <c:pt idx="21">
                  <c:v>0.97933807981570786</c:v>
                </c:pt>
                <c:pt idx="22">
                  <c:v>0.980193157508501</c:v>
                </c:pt>
                <c:pt idx="23">
                  <c:v>0.98098196899337287</c:v>
                </c:pt>
                <c:pt idx="24">
                  <c:v>0.98171200950270998</c:v>
                </c:pt>
                <c:pt idx="25">
                  <c:v>0.98238967327396409</c:v>
                </c:pt>
                <c:pt idx="26">
                  <c:v>0.98302045018568718</c:v>
                </c:pt>
                <c:pt idx="27">
                  <c:v>0.98360908144260795</c:v>
                </c:pt>
                <c:pt idx="28">
                  <c:v>0.98415968397374365</c:v>
                </c:pt>
                <c:pt idx="29">
                  <c:v>0.9846758506761818</c:v>
                </c:pt>
                <c:pt idx="30">
                  <c:v>0.98516073183039721</c:v>
                </c:pt>
                <c:pt idx="31">
                  <c:v>0.98561710170685712</c:v>
                </c:pt>
                <c:pt idx="32">
                  <c:v>0.98604741342827296</c:v>
                </c:pt>
                <c:pt idx="33">
                  <c:v>0.98645384444532425</c:v>
                </c:pt>
                <c:pt idx="34">
                  <c:v>0.98683833445582203</c:v>
                </c:pt>
                <c:pt idx="35">
                  <c:v>0.98720261719913649</c:v>
                </c:pt>
                <c:pt idx="36">
                  <c:v>0.98754824725473378</c:v>
                </c:pt>
                <c:pt idx="37">
                  <c:v>0.98787662274115784</c:v>
                </c:pt>
                <c:pt idx="38">
                  <c:v>0.98818900463196468</c:v>
                </c:pt>
                <c:pt idx="39">
                  <c:v>0.98848653326499791</c:v>
                </c:pt>
                <c:pt idx="40">
                  <c:v>0.98877024251145362</c:v>
                </c:pt>
                <c:pt idx="41">
                  <c:v>0.98904107198434899</c:v>
                </c:pt>
                <c:pt idx="42">
                  <c:v>0.98929987759699711</c:v>
                </c:pt>
                <c:pt idx="43">
                  <c:v>0.98954744072691936</c:v>
                </c:pt>
                <c:pt idx="44">
                  <c:v>0.98978447619626708</c:v>
                </c:pt>
                <c:pt idx="45">
                  <c:v>0.9900116392439744</c:v>
                </c:pt>
                <c:pt idx="46">
                  <c:v>0.99022953163573624</c:v>
                </c:pt>
                <c:pt idx="47">
                  <c:v>0.9904387070341315</c:v>
                </c:pt>
                <c:pt idx="48">
                  <c:v>0.99063967573171086</c:v>
                </c:pt>
                <c:pt idx="49">
                  <c:v>0.99083290883380859</c:v>
                </c:pt>
                <c:pt idx="50">
                  <c:v>0.99101884196455237</c:v>
                </c:pt>
                <c:pt idx="51">
                  <c:v>0.99119787855851016</c:v>
                </c:pt>
                <c:pt idx="52">
                  <c:v>0.99137039279121353</c:v>
                </c:pt>
                <c:pt idx="53">
                  <c:v>0.99153673219409799</c:v>
                </c:pt>
                <c:pt idx="54">
                  <c:v>0.99169721999293592</c:v>
                </c:pt>
                <c:pt idx="55">
                  <c:v>0.99185215720338926</c:v>
                </c:pt>
                <c:pt idx="56">
                  <c:v>0.99200182451270169</c:v>
                </c:pt>
                <c:pt idx="57">
                  <c:v>0.99214648397264416</c:v>
                </c:pt>
                <c:pt idx="58">
                  <c:v>0.992286380525504</c:v>
                </c:pt>
                <c:pt idx="59">
                  <c:v>0.9924217433820719</c:v>
                </c:pt>
                <c:pt idx="60">
                  <c:v>0.99255278726815444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1-4A44-B413-13D9556243B9}"/>
            </c:ext>
          </c:extLst>
        </c:ser>
        <c:ser>
          <c:idx val="1"/>
          <c:order val="1"/>
          <c:tx>
            <c:strRef>
              <c:f>'6_サービス業'!$C$9</c:f>
              <c:strCache>
                <c:ptCount val="1"/>
                <c:pt idx="0">
                  <c:v>被害モード2以上率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'6_サービス業'!$A$10:$A$70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'6_サービス業'!$C$10:$C$70</c:f>
              <c:numCache>
                <c:formatCode>General</c:formatCode>
                <c:ptCount val="61"/>
                <c:pt idx="0">
                  <c:v>0</c:v>
                </c:pt>
                <c:pt idx="1">
                  <c:v>0.20866611419504283</c:v>
                </c:pt>
                <c:pt idx="2">
                  <c:v>0.29099626498283193</c:v>
                </c:pt>
                <c:pt idx="3">
                  <c:v>0.34529810328444022</c:v>
                </c:pt>
                <c:pt idx="4">
                  <c:v>0.38594830560511167</c:v>
                </c:pt>
                <c:pt idx="5">
                  <c:v>0.41839296034833073</c:v>
                </c:pt>
                <c:pt idx="6">
                  <c:v>0.44533184525297076</c:v>
                </c:pt>
                <c:pt idx="7">
                  <c:v>0.46831226931906789</c:v>
                </c:pt>
                <c:pt idx="8">
                  <c:v>0.48830736169750266</c:v>
                </c:pt>
                <c:pt idx="9">
                  <c:v>0.50597036383873384</c:v>
                </c:pt>
                <c:pt idx="10">
                  <c:v>0.52176157464157991</c:v>
                </c:pt>
                <c:pt idx="11">
                  <c:v>0.5360177661570078</c:v>
                </c:pt>
                <c:pt idx="12">
                  <c:v>0.54899285299340539</c:v>
                </c:pt>
                <c:pt idx="13">
                  <c:v>0.5608830489607558</c:v>
                </c:pt>
                <c:pt idx="14">
                  <c:v>0.57184312674821647</c:v>
                </c:pt>
                <c:pt idx="15">
                  <c:v>0.5819973159114018</c:v>
                </c:pt>
                <c:pt idx="16">
                  <c:v>0.59144683398780273</c:v>
                </c:pt>
                <c:pt idx="17">
                  <c:v>0.60027522860865157</c:v>
                </c:pt>
                <c:pt idx="18">
                  <c:v>0.60855225338417585</c:v>
                </c:pt>
                <c:pt idx="19">
                  <c:v>0.61633673599713079</c:v>
                </c:pt>
                <c:pt idx="20">
                  <c:v>0.62367873775902627</c:v>
                </c:pt>
                <c:pt idx="21">
                  <c:v>0.63062120496936791</c:v>
                </c:pt>
                <c:pt idx="22">
                  <c:v>0.63720124923051735</c:v>
                </c:pt>
                <c:pt idx="23">
                  <c:v>0.64345115250337981</c:v>
                </c:pt>
                <c:pt idx="24">
                  <c:v>0.64939916500688644</c:v>
                </c:pt>
                <c:pt idx="25">
                  <c:v>0.65507014517115636</c:v>
                </c:pt>
                <c:pt idx="26">
                  <c:v>0.66048607772788315</c:v>
                </c:pt>
                <c:pt idx="27">
                  <c:v>0.66566649675276657</c:v>
                </c:pt>
                <c:pt idx="28">
                  <c:v>0.67062883383251648</c:v>
                </c:pt>
                <c:pt idx="29">
                  <c:v>0.67538870670385776</c:v>
                </c:pt>
                <c:pt idx="30">
                  <c:v>0.67996016016290373</c:v>
                </c:pt>
                <c:pt idx="31">
                  <c:v>0.68435586840253881</c:v>
                </c:pt>
                <c:pt idx="32">
                  <c:v>0.68858730594947481</c:v>
                </c:pt>
                <c:pt idx="33">
                  <c:v>0.69266489286421051</c:v>
                </c:pt>
                <c:pt idx="34">
                  <c:v>0.6965981187107585</c:v>
                </c:pt>
                <c:pt idx="35">
                  <c:v>0.70039564890884931</c:v>
                </c:pt>
                <c:pt idx="36">
                  <c:v>0.70406541638432352</c:v>
                </c:pt>
                <c:pt idx="37">
                  <c:v>0.70761470088596345</c:v>
                </c:pt>
                <c:pt idx="38">
                  <c:v>0.71105019790395163</c:v>
                </c:pt>
                <c:pt idx="39">
                  <c:v>0.71437807878024917</c:v>
                </c:pt>
                <c:pt idx="40">
                  <c:v>0.71760404332478422</c:v>
                </c:pt>
                <c:pt idx="41">
                  <c:v>0.72073336602848337</c:v>
                </c:pt>
                <c:pt idx="42">
                  <c:v>0.72377093678348381</c:v>
                </c:pt>
                <c:pt idx="43">
                  <c:v>0.7267212968735639</c:v>
                </c:pt>
                <c:pt idx="44">
                  <c:v>0.72958867087713186</c:v>
                </c:pt>
                <c:pt idx="45">
                  <c:v>0.7323769950257456</c:v>
                </c:pt>
                <c:pt idx="46">
                  <c:v>0.73508994247893633</c:v>
                </c:pt>
                <c:pt idx="47">
                  <c:v>0.73773094590782751</c:v>
                </c:pt>
                <c:pt idx="48">
                  <c:v>0.74030321772306606</c:v>
                </c:pt>
                <c:pt idx="49">
                  <c:v>0.74280976823486311</c:v>
                </c:pt>
                <c:pt idx="50">
                  <c:v>0.74525342199282085</c:v>
                </c:pt>
                <c:pt idx="51">
                  <c:v>0.74763683251935142</c:v>
                </c:pt>
                <c:pt idx="52">
                  <c:v>0.74996249562182238</c:v>
                </c:pt>
                <c:pt idx="53">
                  <c:v>0.75223276144418838</c:v>
                </c:pt>
                <c:pt idx="54">
                  <c:v>0.75444984539809545</c:v>
                </c:pt>
                <c:pt idx="55">
                  <c:v>0.75661583809567778</c:v>
                </c:pt>
                <c:pt idx="56">
                  <c:v>0.75873271439102441</c:v>
                </c:pt>
                <c:pt idx="57">
                  <c:v>0.76080234162419136</c:v>
                </c:pt>
                <c:pt idx="58">
                  <c:v>0.76282648715032164</c:v>
                </c:pt>
                <c:pt idx="59">
                  <c:v>0.76480682522666144</c:v>
                </c:pt>
                <c:pt idx="60">
                  <c:v>0.76674494332177801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21-4A44-B413-13D9556243B9}"/>
            </c:ext>
          </c:extLst>
        </c:ser>
        <c:ser>
          <c:idx val="2"/>
          <c:order val="2"/>
          <c:tx>
            <c:strRef>
              <c:f>'6_サービス業'!$D$9</c:f>
              <c:strCache>
                <c:ptCount val="1"/>
                <c:pt idx="0">
                  <c:v>被害モード3以上率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'6_サービス業'!$A$10:$A$70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'6_サービス業'!$D$10:$D$70</c:f>
              <c:numCache>
                <c:formatCode>General</c:formatCode>
                <c:ptCount val="61"/>
                <c:pt idx="0">
                  <c:v>0</c:v>
                </c:pt>
                <c:pt idx="1">
                  <c:v>7.0414304692594493E-2</c:v>
                </c:pt>
                <c:pt idx="2">
                  <c:v>0.11273117220074254</c:v>
                </c:pt>
                <c:pt idx="3">
                  <c:v>0.14464049851016739</c:v>
                </c:pt>
                <c:pt idx="4">
                  <c:v>0.17066285876484408</c:v>
                </c:pt>
                <c:pt idx="5">
                  <c:v>0.1927901012197335</c:v>
                </c:pt>
                <c:pt idx="6">
                  <c:v>0.21211082689226135</c:v>
                </c:pt>
                <c:pt idx="7">
                  <c:v>0.22929603348094266</c:v>
                </c:pt>
                <c:pt idx="8">
                  <c:v>0.24479300442859181</c:v>
                </c:pt>
                <c:pt idx="9">
                  <c:v>0.25891691515773957</c:v>
                </c:pt>
                <c:pt idx="10">
                  <c:v>0.27189928359264454</c:v>
                </c:pt>
                <c:pt idx="11">
                  <c:v>0.28391577834492665</c:v>
                </c:pt>
                <c:pt idx="12">
                  <c:v>0.29510320521264688</c:v>
                </c:pt>
                <c:pt idx="13">
                  <c:v>0.30557040683793524</c:v>
                </c:pt>
                <c:pt idx="14">
                  <c:v>0.31540554178664915</c:v>
                </c:pt>
                <c:pt idx="15">
                  <c:v>0.32468110949185797</c:v>
                </c:pt>
                <c:pt idx="16">
                  <c:v>0.33345751744102392</c:v>
                </c:pt>
                <c:pt idx="17">
                  <c:v>0.34178567480435362</c:v>
                </c:pt>
                <c:pt idx="18">
                  <c:v>0.34970891766856577</c:v>
                </c:pt>
                <c:pt idx="19">
                  <c:v>0.35726446424917402</c:v>
                </c:pt>
                <c:pt idx="20">
                  <c:v>0.36448453255541924</c:v>
                </c:pt>
                <c:pt idx="21">
                  <c:v>0.37139721109420998</c:v>
                </c:pt>
                <c:pt idx="22">
                  <c:v>0.37802714587005692</c:v>
                </c:pt>
                <c:pt idx="23">
                  <c:v>0.38439608868910347</c:v>
                </c:pt>
                <c:pt idx="24">
                  <c:v>0.39052333933465794</c:v>
                </c:pt>
                <c:pt idx="25">
                  <c:v>0.39642610554084923</c:v>
                </c:pt>
                <c:pt idx="26">
                  <c:v>0.40211979858733099</c:v>
                </c:pt>
                <c:pt idx="27">
                  <c:v>0.40761827795971839</c:v>
                </c:pt>
                <c:pt idx="28">
                  <c:v>0.41293405533553218</c:v>
                </c:pt>
                <c:pt idx="29">
                  <c:v>0.41807846580858832</c:v>
                </c:pt>
                <c:pt idx="30">
                  <c:v>0.42306181251487318</c:v>
                </c:pt>
                <c:pt idx="31">
                  <c:v>0.42789348950379891</c:v>
                </c:pt>
                <c:pt idx="32">
                  <c:v>0.43258208669415554</c:v>
                </c:pt>
                <c:pt idx="33">
                  <c:v>0.4371354799818209</c:v>
                </c:pt>
                <c:pt idx="34">
                  <c:v>0.44156090896738115</c:v>
                </c:pt>
                <c:pt idx="35">
                  <c:v>0.4458650443035243</c:v>
                </c:pt>
                <c:pt idx="36">
                  <c:v>0.45005404629307533</c:v>
                </c:pt>
                <c:pt idx="37">
                  <c:v>0.45413361607568892</c:v>
                </c:pt>
                <c:pt idx="38">
                  <c:v>0.45810904050721946</c:v>
                </c:pt>
                <c:pt idx="39">
                  <c:v>0.4619852316476018</c:v>
                </c:pt>
                <c:pt idx="40">
                  <c:v>0.46576676162084157</c:v>
                </c:pt>
                <c:pt idx="41">
                  <c:v>0.46945789348683309</c:v>
                </c:pt>
                <c:pt idx="42">
                  <c:v>0.47306260866339073</c:v>
                </c:pt>
                <c:pt idx="43">
                  <c:v>0.47658463135355594</c:v>
                </c:pt>
                <c:pt idx="44">
                  <c:v>0.48002745036438915</c:v>
                </c:pt>
                <c:pt idx="45">
                  <c:v>0.48339433864631237</c:v>
                </c:pt>
                <c:pt idx="46">
                  <c:v>0.48668837083441369</c:v>
                </c:pt>
                <c:pt idx="47">
                  <c:v>0.48991243903323634</c:v>
                </c:pt>
                <c:pt idx="48">
                  <c:v>0.49306926705303605</c:v>
                </c:pt>
                <c:pt idx="49">
                  <c:v>0.49616142327719392</c:v>
                </c:pt>
                <c:pt idx="50">
                  <c:v>0.49919133231650809</c:v>
                </c:pt>
                <c:pt idx="51">
                  <c:v>0.50216128558571582</c:v>
                </c:pt>
                <c:pt idx="52">
                  <c:v>0.50507345092023304</c:v>
                </c:pt>
                <c:pt idx="53">
                  <c:v>0.50792988133623607</c:v>
                </c:pt>
                <c:pt idx="54">
                  <c:v>0.51073252302446193</c:v>
                </c:pt>
                <c:pt idx="55">
                  <c:v>0.51348322265712798</c:v>
                </c:pt>
                <c:pt idx="56">
                  <c:v>0.51618373407790363</c:v>
                </c:pt>
                <c:pt idx="57">
                  <c:v>0.51883572443665815</c:v>
                </c:pt>
                <c:pt idx="58">
                  <c:v>0.52144077982361003</c:v>
                </c:pt>
                <c:pt idx="59">
                  <c:v>0.52400041045129919</c:v>
                </c:pt>
                <c:pt idx="60">
                  <c:v>0.52651605542741331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21-4A44-B413-13D9556243B9}"/>
            </c:ext>
          </c:extLst>
        </c:ser>
        <c:ser>
          <c:idx val="3"/>
          <c:order val="3"/>
          <c:tx>
            <c:strRef>
              <c:f>'6_サービス業'!$E$9</c:f>
              <c:strCache>
                <c:ptCount val="1"/>
                <c:pt idx="0">
                  <c:v>被害モード4以上率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'6_サービス業'!$A$10:$A$70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'6_サービス業'!$E$10:$E$70</c:f>
              <c:numCache>
                <c:formatCode>General</c:formatCode>
                <c:ptCount val="61"/>
                <c:pt idx="0">
                  <c:v>0</c:v>
                </c:pt>
                <c:pt idx="1">
                  <c:v>5.2285264011008067E-2</c:v>
                </c:pt>
                <c:pt idx="2">
                  <c:v>8.6519021240788987E-2</c:v>
                </c:pt>
                <c:pt idx="3">
                  <c:v>0.11312483268677154</c:v>
                </c:pt>
                <c:pt idx="4">
                  <c:v>0.13524713570403879</c:v>
                </c:pt>
                <c:pt idx="5">
                  <c:v>0.1543303137499788</c:v>
                </c:pt>
                <c:pt idx="6">
                  <c:v>0.17118457752124672</c:v>
                </c:pt>
                <c:pt idx="7">
                  <c:v>0.18631892879142675</c:v>
                </c:pt>
                <c:pt idx="8">
                  <c:v>0.20007780019660906</c:v>
                </c:pt>
                <c:pt idx="9">
                  <c:v>0.21270692161975963</c:v>
                </c:pt>
                <c:pt idx="10">
                  <c:v>0.22438871267825819</c:v>
                </c:pt>
                <c:pt idx="11">
                  <c:v>0.23526286351817918</c:v>
                </c:pt>
                <c:pt idx="12">
                  <c:v>0.24543904720936566</c:v>
                </c:pt>
                <c:pt idx="13">
                  <c:v>0.25500515627045428</c:v>
                </c:pt>
                <c:pt idx="14">
                  <c:v>0.26403285060228615</c:v>
                </c:pt>
                <c:pt idx="15">
                  <c:v>0.27258141692670129</c:v>
                </c:pt>
                <c:pt idx="16">
                  <c:v>0.28070052773108445</c:v>
                </c:pt>
                <c:pt idx="17">
                  <c:v>0.2884322600437168</c:v>
                </c:pt>
                <c:pt idx="18">
                  <c:v>0.29581260275819787</c:v>
                </c:pt>
                <c:pt idx="19">
                  <c:v>0.30287260215798484</c:v>
                </c:pt>
                <c:pt idx="20">
                  <c:v>0.30963924617987126</c:v>
                </c:pt>
                <c:pt idx="21">
                  <c:v>0.31613615654845584</c:v>
                </c:pt>
                <c:pt idx="22">
                  <c:v>0.32238413730745963</c:v>
                </c:pt>
                <c:pt idx="23">
                  <c:v>0.32840161444222382</c:v>
                </c:pt>
                <c:pt idx="24">
                  <c:v>0.33420499181230712</c:v>
                </c:pt>
                <c:pt idx="25">
                  <c:v>0.33980894200162548</c:v>
                </c:pt>
                <c:pt idx="26">
                  <c:v>0.34522664600311537</c:v>
                </c:pt>
                <c:pt idx="27">
                  <c:v>0.35046999227660725</c:v>
                </c:pt>
                <c:pt idx="28">
                  <c:v>0.35554974325153132</c:v>
                </c:pt>
                <c:pt idx="29">
                  <c:v>0.36047567552148851</c:v>
                </c:pt>
                <c:pt idx="30">
                  <c:v>0.36525669861243359</c:v>
                </c:pt>
                <c:pt idx="31">
                  <c:v>0.36990095617355395</c:v>
                </c:pt>
                <c:pt idx="32">
                  <c:v>0.37441591265098167</c:v>
                </c:pt>
                <c:pt idx="33">
                  <c:v>0.3788084278961219</c:v>
                </c:pt>
                <c:pt idx="34">
                  <c:v>0.38308482168717894</c:v>
                </c:pt>
                <c:pt idx="35">
                  <c:v>0.38725092977141401</c:v>
                </c:pt>
                <c:pt idx="36">
                  <c:v>0.39131215274249553</c:v>
                </c:pt>
                <c:pt idx="37">
                  <c:v>0.39527349883400709</c:v>
                </c:pt>
                <c:pt idx="38">
                  <c:v>0.39913962152330185</c:v>
                </c:pt>
                <c:pt idx="39">
                  <c:v>0.40291485268921928</c:v>
                </c:pt>
                <c:pt idx="40">
                  <c:v>0.40660323194501385</c:v>
                </c:pt>
                <c:pt idx="41">
                  <c:v>0.41020853266819107</c:v>
                </c:pt>
                <c:pt idx="42">
                  <c:v>0.41373428516725774</c:v>
                </c:pt>
                <c:pt idx="43">
                  <c:v>0.41718379735807115</c:v>
                </c:pt>
                <c:pt idx="44">
                  <c:v>0.42056017326672485</c:v>
                </c:pt>
                <c:pt idx="45">
                  <c:v>0.42386632962954884</c:v>
                </c:pt>
                <c:pt idx="46">
                  <c:v>0.42710501082206331</c:v>
                </c:pt>
                <c:pt idx="47">
                  <c:v>0.43027880231623211</c:v>
                </c:pt>
                <c:pt idx="48">
                  <c:v>0.43339014283799848</c:v>
                </c:pt>
                <c:pt idx="49">
                  <c:v>0.43644133537394625</c:v>
                </c:pt>
                <c:pt idx="50">
                  <c:v>0.43943455715630692</c:v>
                </c:pt>
                <c:pt idx="51">
                  <c:v>0.44237186873881729</c:v>
                </c:pt>
                <c:pt idx="52">
                  <c:v>0.44525522226166114</c:v>
                </c:pt>
                <c:pt idx="53">
                  <c:v>0.4480864689914939</c:v>
                </c:pt>
                <c:pt idx="54">
                  <c:v>0.45086736621203699</c:v>
                </c:pt>
                <c:pt idx="55">
                  <c:v>0.45359958353166419</c:v>
                </c:pt>
                <c:pt idx="56">
                  <c:v>0.45628470866656851</c:v>
                </c:pt>
                <c:pt idx="57">
                  <c:v>0.45892425275130277</c:v>
                </c:pt>
                <c:pt idx="58">
                  <c:v>0.46151965522258936</c:v>
                </c:pt>
                <c:pt idx="59">
                  <c:v>0.4640722883171482</c:v>
                </c:pt>
                <c:pt idx="60">
                  <c:v>0.46658346121979999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21-4A44-B413-13D9556243B9}"/>
            </c:ext>
          </c:extLst>
        </c:ser>
        <c:ser>
          <c:idx val="4"/>
          <c:order val="4"/>
          <c:tx>
            <c:strRef>
              <c:f>'6_サービス業'!$F$9</c:f>
              <c:strCache>
                <c:ptCount val="1"/>
                <c:pt idx="0">
                  <c:v>被害モード5以上率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'6_サービス業'!$A$10:$A$70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'6_サービス業'!$F$10:$F$70</c:f>
              <c:numCache>
                <c:formatCode>General</c:formatCode>
                <c:ptCount val="61"/>
                <c:pt idx="0">
                  <c:v>0</c:v>
                </c:pt>
                <c:pt idx="1">
                  <c:v>1.0208990817443683E-2</c:v>
                </c:pt>
                <c:pt idx="2">
                  <c:v>1.9795288164236473E-2</c:v>
                </c:pt>
                <c:pt idx="3">
                  <c:v>2.8353340232781004E-2</c:v>
                </c:pt>
                <c:pt idx="4">
                  <c:v>3.6134980603666676E-2</c:v>
                </c:pt>
                <c:pt idx="5">
                  <c:v>4.3307981970064496E-2</c:v>
                </c:pt>
                <c:pt idx="6">
                  <c:v>4.9986632948962731E-2</c:v>
                </c:pt>
                <c:pt idx="7">
                  <c:v>5.6252714054486681E-2</c:v>
                </c:pt>
                <c:pt idx="8">
                  <c:v>6.2167216195555153E-2</c:v>
                </c:pt>
                <c:pt idx="9">
                  <c:v>6.7777149020226746E-2</c:v>
                </c:pt>
                <c:pt idx="10">
                  <c:v>7.3119715493145762E-2</c:v>
                </c:pt>
                <c:pt idx="11">
                  <c:v>7.8224998134881429E-2</c:v>
                </c:pt>
                <c:pt idx="12">
                  <c:v>8.3117759582148301E-2</c:v>
                </c:pt>
                <c:pt idx="13">
                  <c:v>8.7818691638344146E-2</c:v>
                </c:pt>
                <c:pt idx="14">
                  <c:v>9.2345307282427624E-2</c:v>
                </c:pt>
                <c:pt idx="15">
                  <c:v>9.6712593703664446E-2</c:v>
                </c:pt>
                <c:pt idx="16">
                  <c:v>0.10093350073020455</c:v>
                </c:pt>
                <c:pt idx="17">
                  <c:v>0.1050193130160743</c:v>
                </c:pt>
                <c:pt idx="18">
                  <c:v>0.10897993833139659</c:v>
                </c:pt>
                <c:pt idx="19">
                  <c:v>0.11282413412534113</c:v>
                </c:pt>
                <c:pt idx="20">
                  <c:v>0.11655968789130282</c:v>
                </c:pt>
                <c:pt idx="21">
                  <c:v>0.12019356242551073</c:v>
                </c:pt>
                <c:pt idx="22">
                  <c:v>0.12373201403925603</c:v>
                </c:pt>
                <c:pt idx="23">
                  <c:v>0.12718068967466406</c:v>
                </c:pt>
                <c:pt idx="24">
                  <c:v>0.13054470737887638</c:v>
                </c:pt>
                <c:pt idx="25">
                  <c:v>0.13382872351542852</c:v>
                </c:pt>
                <c:pt idx="26">
                  <c:v>0.13703698930582942</c:v>
                </c:pt>
                <c:pt idx="27">
                  <c:v>0.14017339871294807</c:v>
                </c:pt>
                <c:pt idx="28">
                  <c:v>0.14324152924236699</c:v>
                </c:pt>
                <c:pt idx="29">
                  <c:v>0.14624467690808626</c:v>
                </c:pt>
                <c:pt idx="30">
                  <c:v>0.14918588635659963</c:v>
                </c:pt>
                <c:pt idx="31">
                  <c:v>0.15206797694840263</c:v>
                </c:pt>
                <c:pt idx="32">
                  <c:v>0.15489356544400973</c:v>
                </c:pt>
                <c:pt idx="33">
                  <c:v>0.15766508582210575</c:v>
                </c:pt>
                <c:pt idx="34">
                  <c:v>0.16038480666282576</c:v>
                </c:pt>
                <c:pt idx="35">
                  <c:v>0.16305484645366153</c:v>
                </c:pt>
                <c:pt idx="36">
                  <c:v>0.16567718711482932</c:v>
                </c:pt>
                <c:pt idx="37">
                  <c:v>0.16825368599188892</c:v>
                </c:pt>
                <c:pt idx="38">
                  <c:v>0.17078608652351046</c:v>
                </c:pt>
                <c:pt idx="39">
                  <c:v>0.17327602775963835</c:v>
                </c:pt>
                <c:pt idx="40">
                  <c:v>0.17572505287846144</c:v>
                </c:pt>
                <c:pt idx="41">
                  <c:v>0.17813461682839257</c:v>
                </c:pt>
                <c:pt idx="42">
                  <c:v>0.18050609320282468</c:v>
                </c:pt>
                <c:pt idx="43">
                  <c:v>0.18284078044003838</c:v>
                </c:pt>
                <c:pt idx="44">
                  <c:v>0.18513990742772993</c:v>
                </c:pt>
                <c:pt idx="45">
                  <c:v>0.18740463858077316</c:v>
                </c:pt>
                <c:pt idx="46">
                  <c:v>0.18963607845164368</c:v>
                </c:pt>
                <c:pt idx="47">
                  <c:v>0.19183527592515265</c:v>
                </c:pt>
                <c:pt idx="48">
                  <c:v>0.19400322804250342</c:v>
                </c:pt>
                <c:pt idx="49">
                  <c:v>0.19614088349402076</c:v>
                </c:pt>
                <c:pt idx="50">
                  <c:v>0.19824914581504843</c:v>
                </c:pt>
                <c:pt idx="51">
                  <c:v>0.20032887631533366</c:v>
                </c:pt>
                <c:pt idx="52">
                  <c:v>0.20238089676861581</c:v>
                </c:pt>
                <c:pt idx="53">
                  <c:v>0.20440599188602149</c:v>
                </c:pt>
                <c:pt idx="54">
                  <c:v>0.20640491159416507</c:v>
                </c:pt>
                <c:pt idx="55">
                  <c:v>0.20837837313650054</c:v>
                </c:pt>
                <c:pt idx="56">
                  <c:v>0.21032706301442602</c:v>
                </c:pt>
                <c:pt idx="57">
                  <c:v>0.21225163878283954</c:v>
                </c:pt>
                <c:pt idx="58">
                  <c:v>0.21415273071328367</c:v>
                </c:pt>
                <c:pt idx="59">
                  <c:v>0.21603094333643086</c:v>
                </c:pt>
                <c:pt idx="60">
                  <c:v>0.21788685687444509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21-4A44-B413-13D955624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972"/>
        <c:axId val="8823956"/>
      </c:scatterChart>
      <c:valAx>
        <c:axId val="314972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823956"/>
        <c:crosses val="autoZero"/>
        <c:crossBetween val="midCat"/>
      </c:valAx>
      <c:valAx>
        <c:axId val="882395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被害モード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以上となる確率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3149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サービス業 損失率曲線（被害区分の最大値）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'6_サービス業'!$M$9</c:f>
              <c:strCache>
                <c:ptCount val="1"/>
                <c:pt idx="0">
                  <c:v>損失率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'6_サービス業'!$A$10:$A$70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'6_サービス業'!$M$10:$M$70</c:f>
              <c:numCache>
                <c:formatCode>0.0%</c:formatCode>
                <c:ptCount val="61"/>
                <c:pt idx="0">
                  <c:v>0</c:v>
                </c:pt>
                <c:pt idx="1">
                  <c:v>0.28233274684530091</c:v>
                </c:pt>
                <c:pt idx="2">
                  <c:v>0.33494393842274833</c:v>
                </c:pt>
                <c:pt idx="3">
                  <c:v>0.36846009231261523</c:v>
                </c:pt>
                <c:pt idx="4">
                  <c:v>0.393488314327958</c:v>
                </c:pt>
                <c:pt idx="5">
                  <c:v>0.41359892174204793</c:v>
                </c:pt>
                <c:pt idx="6">
                  <c:v>0.43046483323974477</c:v>
                </c:pt>
                <c:pt idx="7">
                  <c:v>0.44501478705242653</c:v>
                </c:pt>
                <c:pt idx="8">
                  <c:v>0.4578217567722323</c:v>
                </c:pt>
                <c:pt idx="9">
                  <c:v>0.46926583489815105</c:v>
                </c:pt>
                <c:pt idx="10">
                  <c:v>0.47961292978953829</c:v>
                </c:pt>
                <c:pt idx="11">
                  <c:v>0.48905679691630094</c:v>
                </c:pt>
                <c:pt idx="12">
                  <c:v>0.49774323891254157</c:v>
                </c:pt>
                <c:pt idx="13">
                  <c:v>0.50578487999057564</c:v>
                </c:pt>
                <c:pt idx="14">
                  <c:v>0.51327062068798102</c:v>
                </c:pt>
                <c:pt idx="15">
                  <c:v>0.52027192708434788</c:v>
                </c:pt>
                <c:pt idx="16">
                  <c:v>0.5268471521154382</c:v>
                </c:pt>
                <c:pt idx="17">
                  <c:v>0.53304458766735141</c:v>
                </c:pt>
                <c:pt idx="18">
                  <c:v>0.53890467196672132</c:v>
                </c:pt>
                <c:pt idx="19">
                  <c:v>0.54446161933931569</c:v>
                </c:pt>
                <c:pt idx="20">
                  <c:v>0.54974464550494817</c:v>
                </c:pt>
                <c:pt idx="21">
                  <c:v>0.55477890369464089</c:v>
                </c:pt>
                <c:pt idx="22">
                  <c:v>0.55958621015231336</c:v>
                </c:pt>
                <c:pt idx="23">
                  <c:v>0.5641856136802641</c:v>
                </c:pt>
                <c:pt idx="24">
                  <c:v>0.56859384797079726</c:v>
                </c:pt>
                <c:pt idx="25">
                  <c:v>0.57282569464827904</c:v>
                </c:pt>
                <c:pt idx="26">
                  <c:v>0.57689427745627553</c:v>
                </c:pt>
                <c:pt idx="27">
                  <c:v>0.58081130275155912</c:v>
                </c:pt>
                <c:pt idx="28">
                  <c:v>0.58458725769741449</c:v>
                </c:pt>
                <c:pt idx="29">
                  <c:v>0.58823157481618893</c:v>
                </c:pt>
                <c:pt idx="30">
                  <c:v>0.59175276955456857</c:v>
                </c:pt>
                <c:pt idx="31">
                  <c:v>0.59515855602417211</c:v>
                </c:pt>
                <c:pt idx="32">
                  <c:v>0.59845594496002408</c:v>
                </c:pt>
                <c:pt idx="33">
                  <c:v>0.60165132708946778</c:v>
                </c:pt>
                <c:pt idx="34">
                  <c:v>0.60475054445284981</c:v>
                </c:pt>
                <c:pt idx="35">
                  <c:v>0.60775895171395578</c:v>
                </c:pt>
                <c:pt idx="36">
                  <c:v>0.61068146910589038</c:v>
                </c:pt>
                <c:pt idx="37">
                  <c:v>0.61352262834999249</c:v>
                </c:pt>
                <c:pt idx="38">
                  <c:v>0.6162866126416302</c:v>
                </c:pt>
                <c:pt idx="39">
                  <c:v>0.61897729160255899</c:v>
                </c:pt>
                <c:pt idx="40">
                  <c:v>0.62159825194386809</c:v>
                </c:pt>
                <c:pt idx="41">
                  <c:v>0.62415282445798426</c:v>
                </c:pt>
                <c:pt idx="42">
                  <c:v>0.62664410785633906</c:v>
                </c:pt>
                <c:pt idx="43">
                  <c:v>0.62907498988622434</c:v>
                </c:pt>
                <c:pt idx="44">
                  <c:v>0.63144816609222876</c:v>
                </c:pt>
                <c:pt idx="45">
                  <c:v>0.63376615653151769</c:v>
                </c:pt>
                <c:pt idx="46">
                  <c:v>0.63603132070574542</c:v>
                </c:pt>
                <c:pt idx="47">
                  <c:v>0.63824587093374885</c:v>
                </c:pt>
                <c:pt idx="48">
                  <c:v>0.64041188435690333</c:v>
                </c:pt>
                <c:pt idx="49">
                  <c:v>0.64253131374196037</c:v>
                </c:pt>
                <c:pt idx="50">
                  <c:v>0.64460599722342127</c:v>
                </c:pt>
                <c:pt idx="51">
                  <c:v>0.64663766710825032</c:v>
                </c:pt>
                <c:pt idx="52">
                  <c:v>0.64862795784942806</c:v>
                </c:pt>
                <c:pt idx="53">
                  <c:v>0.65057841328095689</c:v>
                </c:pt>
                <c:pt idx="54">
                  <c:v>0.65249049319509544</c:v>
                </c:pt>
                <c:pt idx="55">
                  <c:v>0.65436557933244843</c:v>
                </c:pt>
                <c:pt idx="56">
                  <c:v>0.65620498084683532</c:v>
                </c:pt>
                <c:pt idx="57">
                  <c:v>0.65800993929935281</c:v>
                </c:pt>
                <c:pt idx="58">
                  <c:v>0.65978163322957561</c:v>
                </c:pt>
                <c:pt idx="59">
                  <c:v>0.66152118234622348</c:v>
                </c:pt>
                <c:pt idx="60">
                  <c:v>0.66322965137475098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D-4C9C-AB27-BEE12D212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40053"/>
        <c:axId val="95314395"/>
      </c:scatterChart>
      <c:valAx>
        <c:axId val="85840053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5314395"/>
        <c:crosses val="autoZero"/>
        <c:crossBetween val="midCat"/>
      </c:valAx>
      <c:valAx>
        <c:axId val="9531439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損失率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584005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復旧費用率の期待値と浸水深の関係（最大値）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'7_被害関数'!$B$4</c:f>
              <c:strCache>
                <c:ptCount val="1"/>
                <c:pt idx="0">
                  <c:v>製造業</c:v>
                </c:pt>
              </c:strCache>
            </c:strRef>
          </c:tx>
          <c:spPr>
            <a:ln w="21960">
              <a:solidFill>
                <a:srgbClr val="1F4E9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'7_被害関数'!$A$5:$A$65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'7_被害関数'!$B$5:$B$65</c:f>
              <c:numCache>
                <c:formatCode>0.0%</c:formatCode>
                <c:ptCount val="61"/>
                <c:pt idx="0">
                  <c:v>0</c:v>
                </c:pt>
                <c:pt idx="1">
                  <c:v>4.2142906050541919E-2</c:v>
                </c:pt>
                <c:pt idx="2">
                  <c:v>0.10917913540246343</c:v>
                </c:pt>
                <c:pt idx="3">
                  <c:v>0.15967849253118849</c:v>
                </c:pt>
                <c:pt idx="4">
                  <c:v>0.19744629826913299</c:v>
                </c:pt>
                <c:pt idx="5">
                  <c:v>0.22764058467584655</c:v>
                </c:pt>
                <c:pt idx="6">
                  <c:v>0.25338449978022698</c:v>
                </c:pt>
                <c:pt idx="7">
                  <c:v>0.27641547192806293</c:v>
                </c:pt>
                <c:pt idx="8">
                  <c:v>0.29769492108177431</c:v>
                </c:pt>
                <c:pt idx="9">
                  <c:v>0.31776094213541389</c:v>
                </c:pt>
                <c:pt idx="10">
                  <c:v>0.33691912229842741</c:v>
                </c:pt>
                <c:pt idx="11">
                  <c:v>0.35534564215712072</c:v>
                </c:pt>
                <c:pt idx="12">
                  <c:v>0.37314379534911024</c:v>
                </c:pt>
                <c:pt idx="13">
                  <c:v>0.39037551050392955</c:v>
                </c:pt>
                <c:pt idx="14">
                  <c:v>0.40707920574555401</c:v>
                </c:pt>
                <c:pt idx="15">
                  <c:v>0.42328002226533123</c:v>
                </c:pt>
                <c:pt idx="16">
                  <c:v>0.43899573136995274</c:v>
                </c:pt>
                <c:pt idx="17">
                  <c:v>0.45424014774296795</c:v>
                </c:pt>
                <c:pt idx="18">
                  <c:v>0.46902508834714851</c:v>
                </c:pt>
                <c:pt idx="19">
                  <c:v>0.48336147657412276</c:v>
                </c:pt>
                <c:pt idx="20">
                  <c:v>0.49725994253245642</c:v>
                </c:pt>
                <c:pt idx="21">
                  <c:v>0.5107311271856585</c:v>
                </c:pt>
                <c:pt idx="22">
                  <c:v>0.52378581432113913</c:v>
                </c:pt>
                <c:pt idx="23">
                  <c:v>0.53643496470266283</c:v>
                </c:pt>
                <c:pt idx="24">
                  <c:v>0.548689697014627</c:v>
                </c:pt>
                <c:pt idx="25">
                  <c:v>0.56056124222562098</c:v>
                </c:pt>
                <c:pt idx="26">
                  <c:v>0.57206088706520042</c:v>
                </c:pt>
                <c:pt idx="27">
                  <c:v>0.58319991564163498</c:v>
                </c:pt>
                <c:pt idx="28">
                  <c:v>0.59398955416874377</c:v>
                </c:pt>
                <c:pt idx="29">
                  <c:v>0.60444092131279437</c:v>
                </c:pt>
                <c:pt idx="30">
                  <c:v>0.61456498520261049</c:v>
                </c:pt>
                <c:pt idx="31">
                  <c:v>0.62437252728979631</c:v>
                </c:pt>
                <c:pt idx="32">
                  <c:v>0.63387411276699401</c:v>
                </c:pt>
                <c:pt idx="33">
                  <c:v>0.64308006700433362</c:v>
                </c:pt>
                <c:pt idx="34">
                  <c:v>0.65200045735632883</c:v>
                </c:pt>
                <c:pt idx="35">
                  <c:v>0.66064507966635344</c:v>
                </c:pt>
                <c:pt idx="36">
                  <c:v>0.66902344881781217</c:v>
                </c:pt>
                <c:pt idx="37">
                  <c:v>0.67714479272813588</c:v>
                </c:pt>
                <c:pt idx="38">
                  <c:v>0.68501804924028598</c:v>
                </c:pt>
                <c:pt idx="39">
                  <c:v>0.69265186542837431</c:v>
                </c:pt>
                <c:pt idx="40">
                  <c:v>0.70005459889468313</c:v>
                </c:pt>
                <c:pt idx="41">
                  <c:v>0.70723432069215686</c:v>
                </c:pt>
                <c:pt idx="42">
                  <c:v>0.71419881955815978</c:v>
                </c:pt>
                <c:pt idx="43">
                  <c:v>0.72095560719147322</c:v>
                </c:pt>
                <c:pt idx="44">
                  <c:v>0.72751192434518352</c:v>
                </c:pt>
                <c:pt idx="45">
                  <c:v>0.73387474754360249</c:v>
                </c:pt>
                <c:pt idx="46">
                  <c:v>0.74005079626206782</c:v>
                </c:pt>
                <c:pt idx="47">
                  <c:v>0.74604654043490959</c:v>
                </c:pt>
                <c:pt idx="48">
                  <c:v>0.75186820817949818</c:v>
                </c:pt>
                <c:pt idx="49">
                  <c:v>0.7575217936436085</c:v>
                </c:pt>
                <c:pt idx="50">
                  <c:v>0.76301306489976684</c:v>
                </c:pt>
                <c:pt idx="51">
                  <c:v>0.76834757182416979</c:v>
                </c:pt>
                <c:pt idx="52">
                  <c:v>0.77353065390956266</c:v>
                </c:pt>
                <c:pt idx="53">
                  <c:v>0.77856744797139976</c:v>
                </c:pt>
                <c:pt idx="54">
                  <c:v>0.78346289571499339</c:v>
                </c:pt>
                <c:pt idx="55">
                  <c:v>0.788221751138382</c:v>
                </c:pt>
                <c:pt idx="56">
                  <c:v>0.79284858775155032</c:v>
                </c:pt>
                <c:pt idx="57">
                  <c:v>0.79734780559754281</c:v>
                </c:pt>
                <c:pt idx="58">
                  <c:v>0.80172363806512525</c:v>
                </c:pt>
                <c:pt idx="59">
                  <c:v>0.80598015848603977</c:v>
                </c:pt>
                <c:pt idx="60">
                  <c:v>0.81012128651271276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E-41B2-8472-BCACE736F41D}"/>
            </c:ext>
          </c:extLst>
        </c:ser>
        <c:ser>
          <c:idx val="1"/>
          <c:order val="1"/>
          <c:tx>
            <c:strRef>
              <c:f>'7_被害関数'!$C$4</c:f>
              <c:strCache>
                <c:ptCount val="1"/>
                <c:pt idx="0">
                  <c:v>生活関連型産業</c:v>
                </c:pt>
              </c:strCache>
            </c:strRef>
          </c:tx>
          <c:spPr>
            <a:ln w="21960">
              <a:solidFill>
                <a:srgbClr val="1F4E9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'7_被害関数'!$A$5:$A$65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'7_被害関数'!$C$5:$C$65</c:f>
              <c:numCache>
                <c:formatCode>0.0%</c:formatCode>
                <c:ptCount val="61"/>
                <c:pt idx="0">
                  <c:v>0</c:v>
                </c:pt>
                <c:pt idx="1">
                  <c:v>3.2249364892375121E-2</c:v>
                </c:pt>
                <c:pt idx="2">
                  <c:v>8.5685571556374518E-2</c:v>
                </c:pt>
                <c:pt idx="3">
                  <c:v>0.13263755220189272</c:v>
                </c:pt>
                <c:pt idx="4">
                  <c:v>0.17217749526297671</c:v>
                </c:pt>
                <c:pt idx="5">
                  <c:v>0.20595302311047581</c:v>
                </c:pt>
                <c:pt idx="6">
                  <c:v>0.23541138807728132</c:v>
                </c:pt>
                <c:pt idx="7">
                  <c:v>0.26159430769872549</c:v>
                </c:pt>
                <c:pt idx="8">
                  <c:v>0.28523231519166747</c:v>
                </c:pt>
                <c:pt idx="9">
                  <c:v>0.30684292766770133</c:v>
                </c:pt>
                <c:pt idx="10">
                  <c:v>0.32680012121649504</c:v>
                </c:pt>
                <c:pt idx="11">
                  <c:v>0.34538018437186102</c:v>
                </c:pt>
                <c:pt idx="12">
                  <c:v>0.36279173581007473</c:v>
                </c:pt>
                <c:pt idx="13">
                  <c:v>0.37919558293828354</c:v>
                </c:pt>
                <c:pt idx="14">
                  <c:v>0.39471808116713047</c:v>
                </c:pt>
                <c:pt idx="15">
                  <c:v>0.40946028849967575</c:v>
                </c:pt>
                <c:pt idx="16">
                  <c:v>0.42350435562812433</c:v>
                </c:pt>
                <c:pt idx="17">
                  <c:v>0.43691806608999995</c:v>
                </c:pt>
                <c:pt idx="18">
                  <c:v>0.44975811644877506</c:v>
                </c:pt>
                <c:pt idx="19">
                  <c:v>0.46207252359664697</c:v>
                </c:pt>
                <c:pt idx="20">
                  <c:v>0.47390241752373985</c:v>
                </c:pt>
                <c:pt idx="21">
                  <c:v>0.48528339483014571</c:v>
                </c:pt>
                <c:pt idx="22">
                  <c:v>0.4962465537762325</c:v>
                </c:pt>
                <c:pt idx="23">
                  <c:v>0.50681929535986292</c:v>
                </c:pt>
                <c:pt idx="24">
                  <c:v>0.51702595034195142</c:v>
                </c:pt>
                <c:pt idx="25">
                  <c:v>0.52688827527610371</c:v>
                </c:pt>
                <c:pt idx="26">
                  <c:v>0.53642584886051337</c:v>
                </c:pt>
                <c:pt idx="27">
                  <c:v>0.54565639165592428</c:v>
                </c:pt>
                <c:pt idx="28">
                  <c:v>0.55459602630951077</c:v>
                </c:pt>
                <c:pt idx="29">
                  <c:v>0.56325949116365037</c:v>
                </c:pt>
                <c:pt idx="30">
                  <c:v>0.57166031702034248</c:v>
                </c:pt>
                <c:pt idx="31">
                  <c:v>0.5798109745415807</c:v>
                </c:pt>
                <c:pt idx="32">
                  <c:v>0.58772299806193584</c:v>
                </c:pt>
                <c:pt idx="33">
                  <c:v>0.59540709031033257</c:v>
                </c:pt>
                <c:pt idx="34">
                  <c:v>0.60287321156933182</c:v>
                </c:pt>
                <c:pt idx="35">
                  <c:v>0.61013065606078043</c:v>
                </c:pt>
                <c:pt idx="36">
                  <c:v>0.61718811777783222</c:v>
                </c:pt>
                <c:pt idx="37">
                  <c:v>0.62405374754248011</c:v>
                </c:pt>
                <c:pt idx="38">
                  <c:v>0.63073520272368899</c:v>
                </c:pt>
                <c:pt idx="39">
                  <c:v>0.63723969078088183</c:v>
                </c:pt>
                <c:pt idx="40">
                  <c:v>0.64357400758377703</c:v>
                </c:pt>
                <c:pt idx="41">
                  <c:v>0.64974457128949692</c:v>
                </c:pt>
                <c:pt idx="42">
                  <c:v>0.65575745242175176</c:v>
                </c:pt>
                <c:pt idx="43">
                  <c:v>0.66161840068734534</c:v>
                </c:pt>
                <c:pt idx="44">
                  <c:v>0.66733286897658062</c:v>
                </c:pt>
                <c:pt idx="45">
                  <c:v>0.67290603492201095</c:v>
                </c:pt>
                <c:pt idx="46">
                  <c:v>0.67834282033099802</c:v>
                </c:pt>
                <c:pt idx="47">
                  <c:v>0.68364790875907122</c:v>
                </c:pt>
                <c:pt idx="48">
                  <c:v>0.68882576145106666</c:v>
                </c:pt>
                <c:pt idx="49">
                  <c:v>0.69388063184383797</c:v>
                </c:pt>
                <c:pt idx="50">
                  <c:v>0.69881657879668357</c:v>
                </c:pt>
                <c:pt idx="51">
                  <c:v>0.70363747869250248</c:v>
                </c:pt>
                <c:pt idx="52">
                  <c:v>0.70834703653326037</c:v>
                </c:pt>
                <c:pt idx="53">
                  <c:v>0.7129487961369515</c:v>
                </c:pt>
                <c:pt idx="54">
                  <c:v>0.71744614952936536</c:v>
                </c:pt>
                <c:pt idx="55">
                  <c:v>0.72184234561216187</c:v>
                </c:pt>
                <c:pt idx="56">
                  <c:v>0.72614049817869741</c:v>
                </c:pt>
                <c:pt idx="57">
                  <c:v>0.7303435933404181</c:v>
                </c:pt>
                <c:pt idx="58">
                  <c:v>0.73445449641923399</c:v>
                </c:pt>
                <c:pt idx="59">
                  <c:v>0.73847595835490532</c:v>
                </c:pt>
                <c:pt idx="60">
                  <c:v>0.74241062167094085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5E-41B2-8472-BCACE736F41D}"/>
            </c:ext>
          </c:extLst>
        </c:ser>
        <c:ser>
          <c:idx val="2"/>
          <c:order val="2"/>
          <c:tx>
            <c:strRef>
              <c:f>'7_被害関数'!$D$4</c:f>
              <c:strCache>
                <c:ptCount val="1"/>
                <c:pt idx="0">
                  <c:v>基礎素材型産業</c:v>
                </c:pt>
              </c:strCache>
            </c:strRef>
          </c:tx>
          <c:spPr>
            <a:ln w="21960">
              <a:solidFill>
                <a:srgbClr val="1F4E9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'7_被害関数'!$A$5:$A$65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'7_被害関数'!$D$5:$D$65</c:f>
              <c:numCache>
                <c:formatCode>0.0%</c:formatCode>
                <c:ptCount val="61"/>
                <c:pt idx="0">
                  <c:v>0</c:v>
                </c:pt>
                <c:pt idx="1">
                  <c:v>7.7600395961054947E-2</c:v>
                </c:pt>
                <c:pt idx="2">
                  <c:v>0.15986179991146449</c:v>
                </c:pt>
                <c:pt idx="3">
                  <c:v>0.20743854351678531</c:v>
                </c:pt>
                <c:pt idx="4">
                  <c:v>0.23998752211749996</c:v>
                </c:pt>
                <c:pt idx="5">
                  <c:v>0.26687870711968409</c:v>
                </c:pt>
                <c:pt idx="6">
                  <c:v>0.29180859057452618</c:v>
                </c:pt>
                <c:pt idx="7">
                  <c:v>0.31613484179204832</c:v>
                </c:pt>
                <c:pt idx="8">
                  <c:v>0.34027168788177797</c:v>
                </c:pt>
                <c:pt idx="9">
                  <c:v>0.3642614515846137</c:v>
                </c:pt>
                <c:pt idx="10">
                  <c:v>0.38801275195480817</c:v>
                </c:pt>
                <c:pt idx="11">
                  <c:v>0.4114001025951799</c:v>
                </c:pt>
                <c:pt idx="12">
                  <c:v>0.43430412126776818</c:v>
                </c:pt>
                <c:pt idx="13">
                  <c:v>0.45662587256369097</c:v>
                </c:pt>
                <c:pt idx="14">
                  <c:v>0.47829002335942827</c:v>
                </c:pt>
                <c:pt idx="15">
                  <c:v>0.49924338756336173</c:v>
                </c:pt>
                <c:pt idx="16">
                  <c:v>0.51945182718137539</c:v>
                </c:pt>
                <c:pt idx="17">
                  <c:v>0.53889682706799891</c:v>
                </c:pt>
                <c:pt idx="18">
                  <c:v>0.55757229587766066</c:v>
                </c:pt>
                <c:pt idx="19">
                  <c:v>0.57548179122035792</c:v>
                </c:pt>
                <c:pt idx="20">
                  <c:v>0.59263620631303127</c:v>
                </c:pt>
                <c:pt idx="21">
                  <c:v>0.60905188696631962</c:v>
                </c:pt>
                <c:pt idx="22">
                  <c:v>0.62474912297605734</c:v>
                </c:pt>
                <c:pt idx="23">
                  <c:v>0.63975095336230714</c:v>
                </c:pt>
                <c:pt idx="24">
                  <c:v>0.65408222897326584</c:v>
                </c:pt>
                <c:pt idx="25">
                  <c:v>0.66776888323530403</c:v>
                </c:pt>
                <c:pt idx="26">
                  <c:v>0.68083736970487951</c:v>
                </c:pt>
                <c:pt idx="27">
                  <c:v>0.69331423243447088</c:v>
                </c:pt>
                <c:pt idx="28">
                  <c:v>0.70522578158313576</c:v>
                </c:pt>
                <c:pt idx="29">
                  <c:v>0.71659785209869542</c:v>
                </c:pt>
                <c:pt idx="30">
                  <c:v>0.7274556277375327</c:v>
                </c:pt>
                <c:pt idx="31">
                  <c:v>0.73782351629052434</c:v>
                </c:pt>
                <c:pt idx="32">
                  <c:v>0.74772506478248435</c:v>
                </c:pt>
                <c:pt idx="33">
                  <c:v>0.75718290573262959</c:v>
                </c:pt>
                <c:pt idx="34">
                  <c:v>0.76621872741421881</c:v>
                </c:pt>
                <c:pt idx="35">
                  <c:v>0.77485326252470021</c:v>
                </c:pt>
                <c:pt idx="36">
                  <c:v>0.78310629084901762</c:v>
                </c:pt>
                <c:pt idx="37">
                  <c:v>0.79099665242949013</c:v>
                </c:pt>
                <c:pt idx="38">
                  <c:v>0.79854226849513399</c:v>
                </c:pt>
                <c:pt idx="39">
                  <c:v>0.80576016799068595</c:v>
                </c:pt>
                <c:pt idx="40">
                  <c:v>0.81266651801225587</c:v>
                </c:pt>
                <c:pt idx="41">
                  <c:v>0.81927665682722906</c:v>
                </c:pt>
                <c:pt idx="42">
                  <c:v>0.8256051284504996</c:v>
                </c:pt>
                <c:pt idx="43">
                  <c:v>0.83166571798292832</c:v>
                </c:pt>
                <c:pt idx="44">
                  <c:v>0.83747148710346131</c:v>
                </c:pt>
                <c:pt idx="45">
                  <c:v>0.84303480925346674</c:v>
                </c:pt>
                <c:pt idx="46">
                  <c:v>0.84836740416832224</c:v>
                </c:pt>
                <c:pt idx="47">
                  <c:v>0.85348037150334366</c:v>
                </c:pt>
                <c:pt idx="48">
                  <c:v>0.85838422337371489</c:v>
                </c:pt>
                <c:pt idx="49">
                  <c:v>0.86308891568509361</c:v>
                </c:pt>
                <c:pt idx="50">
                  <c:v>0.86760387817617846</c:v>
                </c:pt>
                <c:pt idx="51">
                  <c:v>0.87193804312922363</c:v>
                </c:pt>
                <c:pt idx="52">
                  <c:v>0.87609987273129963</c:v>
                </c:pt>
                <c:pt idx="53">
                  <c:v>0.88009738508960134</c:v>
                </c:pt>
                <c:pt idx="54">
                  <c:v>0.88393817891962179</c:v>
                </c:pt>
                <c:pt idx="55">
                  <c:v>0.88762945693651929</c:v>
                </c:pt>
                <c:pt idx="56">
                  <c:v>0.89117804798838818</c:v>
                </c:pt>
                <c:pt idx="57">
                  <c:v>0.89459042797601185</c:v>
                </c:pt>
                <c:pt idx="58">
                  <c:v>0.89787273960759406</c:v>
                </c:pt>
                <c:pt idx="59">
                  <c:v>0.90103081103935034</c:v>
                </c:pt>
                <c:pt idx="60">
                  <c:v>0.9040701734540102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5E-41B2-8472-BCACE736F41D}"/>
            </c:ext>
          </c:extLst>
        </c:ser>
        <c:ser>
          <c:idx val="3"/>
          <c:order val="3"/>
          <c:tx>
            <c:strRef>
              <c:f>'7_被害関数'!$E$4</c:f>
              <c:strCache>
                <c:ptCount val="1"/>
                <c:pt idx="0">
                  <c:v>非製造業</c:v>
                </c:pt>
              </c:strCache>
            </c:strRef>
          </c:tx>
          <c:spPr>
            <a:ln w="21960">
              <a:solidFill>
                <a:srgbClr val="D0201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'7_被害関数'!$A$5:$A$65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'7_被害関数'!$E$5:$E$65</c:f>
              <c:numCache>
                <c:formatCode>0.0%</c:formatCode>
                <c:ptCount val="61"/>
                <c:pt idx="0">
                  <c:v>0</c:v>
                </c:pt>
                <c:pt idx="1">
                  <c:v>0.13518177402008735</c:v>
                </c:pt>
                <c:pt idx="2">
                  <c:v>0.20428926422483717</c:v>
                </c:pt>
                <c:pt idx="3">
                  <c:v>0.24909950972967082</c:v>
                </c:pt>
                <c:pt idx="4">
                  <c:v>0.28364530174454555</c:v>
                </c:pt>
                <c:pt idx="5">
                  <c:v>0.31253791883840237</c:v>
                </c:pt>
                <c:pt idx="6">
                  <c:v>0.33776182523561377</c:v>
                </c:pt>
                <c:pt idx="7">
                  <c:v>0.36033947023277546</c:v>
                </c:pt>
                <c:pt idx="8">
                  <c:v>0.38087069236146032</c:v>
                </c:pt>
                <c:pt idx="9">
                  <c:v>0.39974327645571345</c:v>
                </c:pt>
                <c:pt idx="10">
                  <c:v>0.41722705291415274</c:v>
                </c:pt>
                <c:pt idx="11">
                  <c:v>0.43352059502505091</c:v>
                </c:pt>
                <c:pt idx="12">
                  <c:v>0.44877643912434417</c:v>
                </c:pt>
                <c:pt idx="13">
                  <c:v>0.46311569699949212</c:v>
                </c:pt>
                <c:pt idx="14">
                  <c:v>0.47663703978657745</c:v>
                </c:pt>
                <c:pt idx="15">
                  <c:v>0.48942250785987329</c:v>
                </c:pt>
                <c:pt idx="16">
                  <c:v>0.50154143427206244</c:v>
                </c:pt>
                <c:pt idx="17">
                  <c:v>0.51305319443257491</c:v>
                </c:pt>
                <c:pt idx="18">
                  <c:v>0.52400919551194725</c:v>
                </c:pt>
                <c:pt idx="19">
                  <c:v>0.53445435566439525</c:v>
                </c:pt>
                <c:pt idx="20">
                  <c:v>0.54442823004577767</c:v>
                </c:pt>
                <c:pt idx="21">
                  <c:v>0.55396588548109982</c:v>
                </c:pt>
                <c:pt idx="22">
                  <c:v>0.5630985918659267</c:v>
                </c:pt>
                <c:pt idx="23">
                  <c:v>0.57185437704656805</c:v>
                </c:pt>
                <c:pt idx="24">
                  <c:v>0.5802584780543637</c:v>
                </c:pt>
                <c:pt idx="25">
                  <c:v>0.58833371232115206</c:v>
                </c:pt>
                <c:pt idx="26">
                  <c:v>0.59610078619065965</c:v>
                </c:pt>
                <c:pt idx="27">
                  <c:v>0.60357855363938184</c:v>
                </c:pt>
                <c:pt idx="28">
                  <c:v>0.6107842349917072</c:v>
                </c:pt>
                <c:pt idx="29">
                  <c:v>0.6177336031499262</c:v>
                </c:pt>
                <c:pt idx="30">
                  <c:v>0.62444114319462041</c:v>
                </c:pt>
                <c:pt idx="31">
                  <c:v>0.63092018996803911</c:v>
                </c:pt>
                <c:pt idx="32">
                  <c:v>0.63718304731268893</c:v>
                </c:pt>
                <c:pt idx="33">
                  <c:v>0.64324109191701906</c:v>
                </c:pt>
                <c:pt idx="34">
                  <c:v>0.64910486416195801</c:v>
                </c:pt>
                <c:pt idx="35">
                  <c:v>0.65478414792512207</c:v>
                </c:pt>
                <c:pt idx="36">
                  <c:v>0.66028804095413929</c:v>
                </c:pt>
                <c:pt idx="37">
                  <c:v>0.66562501714512379</c:v>
                </c:pt>
                <c:pt idx="38">
                  <c:v>0.67080298184093334</c:v>
                </c:pt>
                <c:pt idx="39">
                  <c:v>0.67582932108450033</c:v>
                </c:pt>
                <c:pt idx="40">
                  <c:v>0.68071094561625445</c:v>
                </c:pt>
                <c:pt idx="41">
                  <c:v>0.68545433028457581</c:v>
                </c:pt>
                <c:pt idx="42">
                  <c:v>0.69006554943904486</c:v>
                </c:pt>
                <c:pt idx="43">
                  <c:v>0.694550308793902</c:v>
                </c:pt>
                <c:pt idx="44">
                  <c:v>0.69891397418036172</c:v>
                </c:pt>
                <c:pt idx="45">
                  <c:v>0.70316159754875651</c:v>
                </c:pt>
                <c:pt idx="46">
                  <c:v>0.70729794053285677</c:v>
                </c:pt>
                <c:pt idx="47">
                  <c:v>0.71132749584757282</c:v>
                </c:pt>
                <c:pt idx="48">
                  <c:v>0.71525450675626656</c:v>
                </c:pt>
                <c:pt idx="49">
                  <c:v>0.71908298481406441</c:v>
                </c:pt>
                <c:pt idx="50">
                  <c:v>0.72281672606801695</c:v>
                </c:pt>
                <c:pt idx="51">
                  <c:v>0.72645932587299411</c:v>
                </c:pt>
                <c:pt idx="52">
                  <c:v>0.73001419246329036</c:v>
                </c:pt>
                <c:pt idx="53">
                  <c:v>0.73348455940354573</c:v>
                </c:pt>
                <c:pt idx="54">
                  <c:v>0.73687349702840355</c:v>
                </c:pt>
                <c:pt idx="55">
                  <c:v>0.74018392296798363</c:v>
                </c:pt>
                <c:pt idx="56">
                  <c:v>0.74341861184549307</c:v>
                </c:pt>
                <c:pt idx="57">
                  <c:v>0.74658020422387994</c:v>
                </c:pt>
                <c:pt idx="58">
                  <c:v>0.74967121487020205</c:v>
                </c:pt>
                <c:pt idx="59">
                  <c:v>0.75269404039913368</c:v>
                </c:pt>
                <c:pt idx="60">
                  <c:v>0.75565096635065387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5E-41B2-8472-BCACE736F41D}"/>
            </c:ext>
          </c:extLst>
        </c:ser>
        <c:ser>
          <c:idx val="4"/>
          <c:order val="4"/>
          <c:tx>
            <c:strRef>
              <c:f>'7_被害関数'!$F$4</c:f>
              <c:strCache>
                <c:ptCount val="1"/>
                <c:pt idx="0">
                  <c:v>卸売・小売業</c:v>
                </c:pt>
              </c:strCache>
            </c:strRef>
          </c:tx>
          <c:spPr>
            <a:ln w="21960">
              <a:solidFill>
                <a:srgbClr val="D0201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'7_被害関数'!$A$5:$A$65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'7_被害関数'!$F$5:$F$65</c:f>
              <c:numCache>
                <c:formatCode>0.0%</c:formatCode>
                <c:ptCount val="61"/>
                <c:pt idx="0">
                  <c:v>0</c:v>
                </c:pt>
                <c:pt idx="1">
                  <c:v>0.18410107530603151</c:v>
                </c:pt>
                <c:pt idx="2">
                  <c:v>0.27458911340244035</c:v>
                </c:pt>
                <c:pt idx="3">
                  <c:v>0.33634693709267471</c:v>
                </c:pt>
                <c:pt idx="4">
                  <c:v>0.38384142172415253</c:v>
                </c:pt>
                <c:pt idx="5">
                  <c:v>0.42255887299910816</c:v>
                </c:pt>
                <c:pt idx="6">
                  <c:v>0.45524067960916714</c:v>
                </c:pt>
                <c:pt idx="7">
                  <c:v>0.4834802862480011</c:v>
                </c:pt>
                <c:pt idx="8">
                  <c:v>0.50829716534805147</c:v>
                </c:pt>
                <c:pt idx="9">
                  <c:v>0.53038826543499729</c:v>
                </c:pt>
                <c:pt idx="10">
                  <c:v>0.55025372284739693</c:v>
                </c:pt>
                <c:pt idx="11">
                  <c:v>0.56826597225219666</c:v>
                </c:pt>
                <c:pt idx="12">
                  <c:v>0.58471056396570131</c:v>
                </c:pt>
                <c:pt idx="13">
                  <c:v>0.59981166090710392</c:v>
                </c:pt>
                <c:pt idx="14">
                  <c:v>0.6137486990846126</c:v>
                </c:pt>
                <c:pt idx="15">
                  <c:v>0.62666768393832761</c:v>
                </c:pt>
                <c:pt idx="16">
                  <c:v>0.6386890897866766</c:v>
                </c:pt>
                <c:pt idx="17">
                  <c:v>0.64991353035481358</c:v>
                </c:pt>
                <c:pt idx="18">
                  <c:v>0.66042592181419291</c:v>
                </c:pt>
                <c:pt idx="19">
                  <c:v>0.67029859929338598</c:v>
                </c:pt>
                <c:pt idx="20">
                  <c:v>0.6795936901578008</c:v>
                </c:pt>
                <c:pt idx="21">
                  <c:v>0.68836494880122245</c:v>
                </c:pt>
                <c:pt idx="22">
                  <c:v>0.69665919432164836</c:v>
                </c:pt>
                <c:pt idx="23">
                  <c:v>0.70451745067696325</c:v>
                </c:pt>
                <c:pt idx="24">
                  <c:v>0.71197586075549157</c:v>
                </c:pt>
                <c:pt idx="25">
                  <c:v>0.7190664264323483</c:v>
                </c:pt>
                <c:pt idx="26">
                  <c:v>0.7258176131258105</c:v>
                </c:pt>
                <c:pt idx="27">
                  <c:v>0.73225484772126703</c:v>
                </c:pt>
                <c:pt idx="28">
                  <c:v>0.73840093176351129</c:v>
                </c:pt>
                <c:pt idx="29">
                  <c:v>0.74427638671815721</c:v>
                </c:pt>
                <c:pt idx="30">
                  <c:v>0.74989974432287876</c:v>
                </c:pt>
                <c:pt idx="31">
                  <c:v>0.75528779221515485</c:v>
                </c:pt>
                <c:pt idx="32">
                  <c:v>0.76045578287586568</c:v>
                </c:pt>
                <c:pt idx="33">
                  <c:v>0.76541761228505423</c:v>
                </c:pt>
                <c:pt idx="34">
                  <c:v>0.77018597341745854</c:v>
                </c:pt>
                <c:pt idx="35">
                  <c:v>0.77477248871744364</c:v>
                </c:pt>
                <c:pt idx="36">
                  <c:v>0.77918782491743499</c:v>
                </c:pt>
                <c:pt idx="37">
                  <c:v>0.78344179295068483</c:v>
                </c:pt>
                <c:pt idx="38">
                  <c:v>0.78754343522083181</c:v>
                </c:pt>
                <c:pt idx="39">
                  <c:v>0.79150110209925451</c:v>
                </c:pt>
                <c:pt idx="40">
                  <c:v>0.79532251920550179</c:v>
                </c:pt>
                <c:pt idx="41">
                  <c:v>0.79901484676995582</c:v>
                </c:pt>
                <c:pt idx="42">
                  <c:v>0.80258473216895543</c:v>
                </c:pt>
                <c:pt idx="43">
                  <c:v>0.80603835655129807</c:v>
                </c:pt>
                <c:pt idx="44">
                  <c:v>0.80938147633386059</c:v>
                </c:pt>
                <c:pt idx="45">
                  <c:v>0.81261946022719966</c:v>
                </c:pt>
                <c:pt idx="46">
                  <c:v>0.81575732235479737</c:v>
                </c:pt>
                <c:pt idx="47">
                  <c:v>0.81879975194842891</c:v>
                </c:pt>
                <c:pt idx="48">
                  <c:v>0.82175114003406435</c:v>
                </c:pt>
                <c:pt idx="49">
                  <c:v>0.82461560346540241</c:v>
                </c:pt>
                <c:pt idx="50">
                  <c:v>0.82739700661372195</c:v>
                </c:pt>
                <c:pt idx="51">
                  <c:v>0.83009898098167545</c:v>
                </c:pt>
                <c:pt idx="52">
                  <c:v>0.83272494297372357</c:v>
                </c:pt>
                <c:pt idx="53">
                  <c:v>0.83527811002609065</c:v>
                </c:pt>
                <c:pt idx="54">
                  <c:v>0.83776151527359777</c:v>
                </c:pt>
                <c:pt idx="55">
                  <c:v>0.840178020908803</c:v>
                </c:pt>
                <c:pt idx="56">
                  <c:v>0.84253033037000269</c:v>
                </c:pt>
                <c:pt idx="57">
                  <c:v>0.84482099947833567</c:v>
                </c:pt>
                <c:pt idx="58">
                  <c:v>0.84705244663011814</c:v>
                </c:pt>
                <c:pt idx="59">
                  <c:v>0.84922696213827775</c:v>
                </c:pt>
                <c:pt idx="60">
                  <c:v>0.85134671680608509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5E-41B2-8472-BCACE736F41D}"/>
            </c:ext>
          </c:extLst>
        </c:ser>
        <c:ser>
          <c:idx val="5"/>
          <c:order val="5"/>
          <c:tx>
            <c:strRef>
              <c:f>'7_被害関数'!$G$4</c:f>
              <c:strCache>
                <c:ptCount val="1"/>
                <c:pt idx="0">
                  <c:v>サービス業</c:v>
                </c:pt>
              </c:strCache>
            </c:strRef>
          </c:tx>
          <c:spPr>
            <a:ln w="21960">
              <a:solidFill>
                <a:srgbClr val="D0201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'7_被害関数'!$A$5:$A$65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'7_被害関数'!$G$5:$G$65</c:f>
              <c:numCache>
                <c:formatCode>0.0%</c:formatCode>
                <c:ptCount val="61"/>
                <c:pt idx="0">
                  <c:v>0</c:v>
                </c:pt>
                <c:pt idx="1">
                  <c:v>0.28233274684530091</c:v>
                </c:pt>
                <c:pt idx="2">
                  <c:v>0.33494393842274833</c:v>
                </c:pt>
                <c:pt idx="3">
                  <c:v>0.36846009231261523</c:v>
                </c:pt>
                <c:pt idx="4">
                  <c:v>0.393488314327958</c:v>
                </c:pt>
                <c:pt idx="5">
                  <c:v>0.41359892174204793</c:v>
                </c:pt>
                <c:pt idx="6">
                  <c:v>0.43046483323974477</c:v>
                </c:pt>
                <c:pt idx="7">
                  <c:v>0.44501478705242653</c:v>
                </c:pt>
                <c:pt idx="8">
                  <c:v>0.4578217567722323</c:v>
                </c:pt>
                <c:pt idx="9">
                  <c:v>0.46926583489815105</c:v>
                </c:pt>
                <c:pt idx="10">
                  <c:v>0.47961292978953829</c:v>
                </c:pt>
                <c:pt idx="11">
                  <c:v>0.48905679691630094</c:v>
                </c:pt>
                <c:pt idx="12">
                  <c:v>0.49774323891254157</c:v>
                </c:pt>
                <c:pt idx="13">
                  <c:v>0.50578487999057564</c:v>
                </c:pt>
                <c:pt idx="14">
                  <c:v>0.51327062068798102</c:v>
                </c:pt>
                <c:pt idx="15">
                  <c:v>0.52027192708434788</c:v>
                </c:pt>
                <c:pt idx="16">
                  <c:v>0.5268471521154382</c:v>
                </c:pt>
                <c:pt idx="17">
                  <c:v>0.53304458766735141</c:v>
                </c:pt>
                <c:pt idx="18">
                  <c:v>0.53890467196672132</c:v>
                </c:pt>
                <c:pt idx="19">
                  <c:v>0.54446161933931569</c:v>
                </c:pt>
                <c:pt idx="20">
                  <c:v>0.54974464550494817</c:v>
                </c:pt>
                <c:pt idx="21">
                  <c:v>0.55477890369464089</c:v>
                </c:pt>
                <c:pt idx="22">
                  <c:v>0.55958621015231336</c:v>
                </c:pt>
                <c:pt idx="23">
                  <c:v>0.5641856136802641</c:v>
                </c:pt>
                <c:pt idx="24">
                  <c:v>0.56859384797079726</c:v>
                </c:pt>
                <c:pt idx="25">
                  <c:v>0.57282569464827904</c:v>
                </c:pt>
                <c:pt idx="26">
                  <c:v>0.57689427745627553</c:v>
                </c:pt>
                <c:pt idx="27">
                  <c:v>0.58081130275155912</c:v>
                </c:pt>
                <c:pt idx="28">
                  <c:v>0.58458725769741449</c:v>
                </c:pt>
                <c:pt idx="29">
                  <c:v>0.58823157481618893</c:v>
                </c:pt>
                <c:pt idx="30">
                  <c:v>0.59175276955456857</c:v>
                </c:pt>
                <c:pt idx="31">
                  <c:v>0.59515855602417211</c:v>
                </c:pt>
                <c:pt idx="32">
                  <c:v>0.59845594496002408</c:v>
                </c:pt>
                <c:pt idx="33">
                  <c:v>0.60165132708946778</c:v>
                </c:pt>
                <c:pt idx="34">
                  <c:v>0.60475054445284981</c:v>
                </c:pt>
                <c:pt idx="35">
                  <c:v>0.60775895171395578</c:v>
                </c:pt>
                <c:pt idx="36">
                  <c:v>0.61068146910589038</c:v>
                </c:pt>
                <c:pt idx="37">
                  <c:v>0.61352262834999249</c:v>
                </c:pt>
                <c:pt idx="38">
                  <c:v>0.6162866126416302</c:v>
                </c:pt>
                <c:pt idx="39">
                  <c:v>0.61897729160255899</c:v>
                </c:pt>
                <c:pt idx="40">
                  <c:v>0.62159825194386809</c:v>
                </c:pt>
                <c:pt idx="41">
                  <c:v>0.62415282445798426</c:v>
                </c:pt>
                <c:pt idx="42">
                  <c:v>0.62664410785633906</c:v>
                </c:pt>
                <c:pt idx="43">
                  <c:v>0.62907498988622434</c:v>
                </c:pt>
                <c:pt idx="44">
                  <c:v>0.63144816609222876</c:v>
                </c:pt>
                <c:pt idx="45">
                  <c:v>0.63376615653151769</c:v>
                </c:pt>
                <c:pt idx="46">
                  <c:v>0.63603132070574542</c:v>
                </c:pt>
                <c:pt idx="47">
                  <c:v>0.63824587093374885</c:v>
                </c:pt>
                <c:pt idx="48">
                  <c:v>0.64041188435690333</c:v>
                </c:pt>
                <c:pt idx="49">
                  <c:v>0.64253131374196037</c:v>
                </c:pt>
                <c:pt idx="50">
                  <c:v>0.64460599722342127</c:v>
                </c:pt>
                <c:pt idx="51">
                  <c:v>0.64663766710825032</c:v>
                </c:pt>
                <c:pt idx="52">
                  <c:v>0.64862795784942806</c:v>
                </c:pt>
                <c:pt idx="53">
                  <c:v>0.65057841328095689</c:v>
                </c:pt>
                <c:pt idx="54">
                  <c:v>0.65249049319509544</c:v>
                </c:pt>
                <c:pt idx="55">
                  <c:v>0.65436557933244843</c:v>
                </c:pt>
                <c:pt idx="56">
                  <c:v>0.65620498084683532</c:v>
                </c:pt>
                <c:pt idx="57">
                  <c:v>0.65800993929935281</c:v>
                </c:pt>
                <c:pt idx="58">
                  <c:v>0.65978163322957561</c:v>
                </c:pt>
                <c:pt idx="59">
                  <c:v>0.66152118234622348</c:v>
                </c:pt>
                <c:pt idx="60">
                  <c:v>0.66322965137475098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5E-41B2-8472-BCACE736F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2688"/>
        <c:axId val="82867936"/>
      </c:scatterChart>
      <c:valAx>
        <c:axId val="12652688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2867936"/>
        <c:crosses val="autoZero"/>
        <c:crossBetween val="midCat"/>
      </c:valAx>
      <c:valAx>
        <c:axId val="8286793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復旧費用率の期待値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265268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復旧費用率の期待値と浸水深の関係（中央値・論文図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3-4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相当）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'8_参考_論文図3-4再現'!$B$4</c:f>
              <c:strCache>
                <c:ptCount val="1"/>
                <c:pt idx="0">
                  <c:v>製造業</c:v>
                </c:pt>
              </c:strCache>
            </c:strRef>
          </c:tx>
          <c:spPr>
            <a:ln w="21960">
              <a:solidFill>
                <a:srgbClr val="1F4E9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'8_参考_論文図3-4再現'!$A$5:$A$65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'8_参考_論文図3-4再現'!$B$5:$B$65</c:f>
              <c:numCache>
                <c:formatCode>0.0%</c:formatCode>
                <c:ptCount val="61"/>
                <c:pt idx="0">
                  <c:v>0</c:v>
                </c:pt>
                <c:pt idx="1">
                  <c:v>2.1181665551242686E-2</c:v>
                </c:pt>
                <c:pt idx="2">
                  <c:v>5.5792201341093611E-2</c:v>
                </c:pt>
                <c:pt idx="3">
                  <c:v>8.3638323785153679E-2</c:v>
                </c:pt>
                <c:pt idx="4">
                  <c:v>0.10645244212061769</c:v>
                </c:pt>
                <c:pt idx="5">
                  <c:v>0.12647336919651142</c:v>
                </c:pt>
                <c:pt idx="6">
                  <c:v>0.14494651854940349</c:v>
                </c:pt>
                <c:pt idx="7">
                  <c:v>0.16249026207890546</c:v>
                </c:pt>
                <c:pt idx="8">
                  <c:v>0.17939835989826258</c:v>
                </c:pt>
                <c:pt idx="9">
                  <c:v>0.19580396212256776</c:v>
                </c:pt>
                <c:pt idx="10">
                  <c:v>0.21176262350158881</c:v>
                </c:pt>
                <c:pt idx="11">
                  <c:v>0.22729375309633745</c:v>
                </c:pt>
                <c:pt idx="12">
                  <c:v>0.24240120128999726</c:v>
                </c:pt>
                <c:pt idx="13">
                  <c:v>0.2570833529112424</c:v>
                </c:pt>
                <c:pt idx="14">
                  <c:v>0.27133791241071398</c:v>
                </c:pt>
                <c:pt idx="15">
                  <c:v>0.28516400215899262</c:v>
                </c:pt>
                <c:pt idx="16">
                  <c:v>0.2985629141461722</c:v>
                </c:pt>
                <c:pt idx="17">
                  <c:v>0.31153820611062732</c:v>
                </c:pt>
                <c:pt idx="18">
                  <c:v>0.32409549901092444</c:v>
                </c:pt>
                <c:pt idx="19">
                  <c:v>0.3362421586728519</c:v>
                </c:pt>
                <c:pt idx="20">
                  <c:v>0.34798695301642868</c:v>
                </c:pt>
                <c:pt idx="21">
                  <c:v>0.35933972816307214</c:v>
                </c:pt>
                <c:pt idx="22">
                  <c:v>0.3703111215856616</c:v>
                </c:pt>
                <c:pt idx="23">
                  <c:v>0.38091231759043181</c:v>
                </c:pt>
                <c:pt idx="24">
                  <c:v>0.39115484410544077</c:v>
                </c:pt>
                <c:pt idx="25">
                  <c:v>0.40105040692495231</c:v>
                </c:pt>
                <c:pt idx="26">
                  <c:v>0.41061075655869289</c:v>
                </c:pt>
                <c:pt idx="27">
                  <c:v>0.41984758275660439</c:v>
                </c:pt>
                <c:pt idx="28">
                  <c:v>0.42877243213570587</c:v>
                </c:pt>
                <c:pt idx="29">
                  <c:v>0.437396644866068</c:v>
                </c:pt>
                <c:pt idx="30">
                  <c:v>0.4457313069430513</c:v>
                </c:pt>
                <c:pt idx="31">
                  <c:v>0.45378721511681791</c:v>
                </c:pt>
                <c:pt idx="32">
                  <c:v>0.46157485203874538</c:v>
                </c:pt>
                <c:pt idx="33">
                  <c:v>0.46910436960852386</c:v>
                </c:pt>
                <c:pt idx="34">
                  <c:v>0.4763855788660698</c:v>
                </c:pt>
                <c:pt idx="35">
                  <c:v>0.48342794507432102</c:v>
                </c:pt>
                <c:pt idx="36">
                  <c:v>0.49024058688957484</c:v>
                </c:pt>
                <c:pt idx="37">
                  <c:v>0.49683227872270569</c:v>
                </c:pt>
                <c:pt idx="38">
                  <c:v>0.50321145556431868</c:v>
                </c:pt>
                <c:pt idx="39">
                  <c:v>0.50938621968580022</c:v>
                </c:pt>
                <c:pt idx="40">
                  <c:v>0.51536434874173076</c:v>
                </c:pt>
                <c:pt idx="41">
                  <c:v>0.52115330489167766</c:v>
                </c:pt>
                <c:pt idx="42">
                  <c:v>0.52676024463481308</c:v>
                </c:pt>
                <c:pt idx="43">
                  <c:v>0.53219202911221475</c:v>
                </c:pt>
                <c:pt idx="44">
                  <c:v>0.53745523468165257</c:v>
                </c:pt>
                <c:pt idx="45">
                  <c:v>0.5425561636102969</c:v>
                </c:pt>
                <c:pt idx="46">
                  <c:v>0.54750085476377508</c:v>
                </c:pt>
                <c:pt idx="47">
                  <c:v>0.55229509419680212</c:v>
                </c:pt>
                <c:pt idx="48">
                  <c:v>0.55694442557232648</c:v>
                </c:pt>
                <c:pt idx="49">
                  <c:v>0.56145416035372775</c:v>
                </c:pt>
                <c:pt idx="50">
                  <c:v>0.56582938772882374</c:v>
                </c:pt>
                <c:pt idx="51">
                  <c:v>0.57007498423590497</c:v>
                </c:pt>
                <c:pt idx="52">
                  <c:v>0.57419562307124949</c:v>
                </c:pt>
                <c:pt idx="53">
                  <c:v>0.57819578306494956</c:v>
                </c:pt>
                <c:pt idx="54">
                  <c:v>0.58207975731778161</c:v>
                </c:pt>
                <c:pt idx="55">
                  <c:v>0.58585166149652856</c:v>
                </c:pt>
                <c:pt idx="56">
                  <c:v>0.58951544178883508</c:v>
                </c:pt>
                <c:pt idx="57">
                  <c:v>0.59307488252155349</c:v>
                </c:pt>
                <c:pt idx="58">
                  <c:v>0.59653361344874289</c:v>
                </c:pt>
                <c:pt idx="59">
                  <c:v>0.59989511671715889</c:v>
                </c:pt>
                <c:pt idx="60">
                  <c:v>0.60316273351830918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B7-4D2D-A1A1-3B2241829165}"/>
            </c:ext>
          </c:extLst>
        </c:ser>
        <c:ser>
          <c:idx val="1"/>
          <c:order val="1"/>
          <c:tx>
            <c:strRef>
              <c:f>'8_参考_論文図3-4再現'!$C$4</c:f>
              <c:strCache>
                <c:ptCount val="1"/>
                <c:pt idx="0">
                  <c:v>生活関連型産業</c:v>
                </c:pt>
              </c:strCache>
            </c:strRef>
          </c:tx>
          <c:spPr>
            <a:ln w="21960">
              <a:solidFill>
                <a:srgbClr val="1F4E9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'8_参考_論文図3-4再現'!$A$5:$A$65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'8_参考_論文図3-4再現'!$C$5:$C$65</c:f>
              <c:numCache>
                <c:formatCode>0.0%</c:formatCode>
                <c:ptCount val="61"/>
                <c:pt idx="0">
                  <c:v>0</c:v>
                </c:pt>
                <c:pt idx="1">
                  <c:v>1.6682102505721632E-2</c:v>
                </c:pt>
                <c:pt idx="2">
                  <c:v>4.6150088767506647E-2</c:v>
                </c:pt>
                <c:pt idx="3">
                  <c:v>7.4144141251588469E-2</c:v>
                </c:pt>
                <c:pt idx="4">
                  <c:v>9.9443525292337909E-2</c:v>
                </c:pt>
                <c:pt idx="5">
                  <c:v>0.12236600897993763</c:v>
                </c:pt>
                <c:pt idx="6">
                  <c:v>0.14332816088921946</c:v>
                </c:pt>
                <c:pt idx="7">
                  <c:v>0.1626679233996137</c:v>
                </c:pt>
                <c:pt idx="8">
                  <c:v>0.18064263647065645</c:v>
                </c:pt>
                <c:pt idx="9">
                  <c:v>0.19744860976857789</c:v>
                </c:pt>
                <c:pt idx="10">
                  <c:v>0.21323826046863179</c:v>
                </c:pt>
                <c:pt idx="11">
                  <c:v>0.22813241251832472</c:v>
                </c:pt>
                <c:pt idx="12">
                  <c:v>0.24222878061653871</c:v>
                </c:pt>
                <c:pt idx="13">
                  <c:v>0.25560782867779763</c:v>
                </c:pt>
                <c:pt idx="14">
                  <c:v>0.2683368745326849</c:v>
                </c:pt>
                <c:pt idx="15">
                  <c:v>0.28047302097665799</c:v>
                </c:pt>
                <c:pt idx="16">
                  <c:v>0.29206529079457111</c:v>
                </c:pt>
                <c:pt idx="17">
                  <c:v>0.30315621227337425</c:v>
                </c:pt>
                <c:pt idx="18">
                  <c:v>0.31378301816373383</c:v>
                </c:pt>
                <c:pt idx="19">
                  <c:v>0.32397856760943489</c:v>
                </c:pt>
                <c:pt idx="20">
                  <c:v>0.33377206596765935</c:v>
                </c:pt>
                <c:pt idx="21">
                  <c:v>0.34318963469737462</c:v>
                </c:pt>
                <c:pt idx="22">
                  <c:v>0.35225476828475016</c:v>
                </c:pt>
                <c:pt idx="23">
                  <c:v>0.36098870483172429</c:v>
                </c:pt>
                <c:pt idx="24">
                  <c:v>0.36941072978219075</c:v>
                </c:pt>
                <c:pt idx="25">
                  <c:v>0.37753842723578668</c:v>
                </c:pt>
                <c:pt idx="26">
                  <c:v>0.38538788971550353</c:v>
                </c:pt>
                <c:pt idx="27">
                  <c:v>0.39297389466252852</c:v>
                </c:pt>
                <c:pt idx="28">
                  <c:v>0.40031005403061826</c:v>
                </c:pt>
                <c:pt idx="29">
                  <c:v>0.40740894194083077</c:v>
                </c:pt>
                <c:pt idx="30">
                  <c:v>0.41428220429715396</c:v>
                </c:pt>
                <c:pt idx="31">
                  <c:v>0.42094065345835985</c:v>
                </c:pt>
                <c:pt idx="32">
                  <c:v>0.42739435044361118</c:v>
                </c:pt>
                <c:pt idx="33">
                  <c:v>0.43365267667082158</c:v>
                </c:pt>
                <c:pt idx="34">
                  <c:v>0.43972439685276549</c:v>
                </c:pt>
                <c:pt idx="35">
                  <c:v>0.44561771438119274</c:v>
                </c:pt>
                <c:pt idx="36">
                  <c:v>0.45134032029507809</c:v>
                </c:pt>
                <c:pt idx="37">
                  <c:v>0.45689943674179218</c:v>
                </c:pt>
                <c:pt idx="38">
                  <c:v>0.46230185568903848</c:v>
                </c:pt>
                <c:pt idx="39">
                  <c:v>0.46755397352297312</c:v>
                </c:pt>
                <c:pt idx="40">
                  <c:v>0.4726618220680317</c:v>
                </c:pt>
                <c:pt idx="41">
                  <c:v>0.47763109648198998</c:v>
                </c:pt>
                <c:pt idx="42">
                  <c:v>0.48246718041211911</c:v>
                </c:pt>
                <c:pt idx="43">
                  <c:v>0.48717516874216205</c:v>
                </c:pt>
                <c:pt idx="44">
                  <c:v>0.49175988821304811</c:v>
                </c:pt>
                <c:pt idx="45">
                  <c:v>0.49622591616107148</c:v>
                </c:pt>
                <c:pt idx="46">
                  <c:v>0.50057759758426723</c:v>
                </c:pt>
                <c:pt idx="47">
                  <c:v>0.50481906071985749</c:v>
                </c:pt>
                <c:pt idx="48">
                  <c:v>0.50895423129199346</c:v>
                </c:pt>
                <c:pt idx="49">
                  <c:v>0.51298684556888363</c:v>
                </c:pt>
                <c:pt idx="50">
                  <c:v>0.51692046235119171</c:v>
                </c:pt>
                <c:pt idx="51">
                  <c:v>0.52075847399881681</c:v>
                </c:pt>
                <c:pt idx="52">
                  <c:v>0.52450411659046448</c:v>
                </c:pt>
                <c:pt idx="53">
                  <c:v>0.5281604792994431</c:v>
                </c:pt>
                <c:pt idx="54">
                  <c:v>0.53173051305961094</c:v>
                </c:pt>
                <c:pt idx="55">
                  <c:v>0.5352170385871442</c:v>
                </c:pt>
                <c:pt idx="56">
                  <c:v>0.53862275381660019</c:v>
                </c:pt>
                <c:pt idx="57">
                  <c:v>0.54195024080345811</c:v>
                </c:pt>
                <c:pt idx="58">
                  <c:v>0.54520197213982002</c:v>
                </c:pt>
                <c:pt idx="59">
                  <c:v>0.54838031692511069</c:v>
                </c:pt>
                <c:pt idx="60">
                  <c:v>0.55148754632936037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B7-4D2D-A1A1-3B2241829165}"/>
            </c:ext>
          </c:extLst>
        </c:ser>
        <c:ser>
          <c:idx val="2"/>
          <c:order val="2"/>
          <c:tx>
            <c:strRef>
              <c:f>'8_参考_論文図3-4再現'!$D$4</c:f>
              <c:strCache>
                <c:ptCount val="1"/>
                <c:pt idx="0">
                  <c:v>基礎素材型産業</c:v>
                </c:pt>
              </c:strCache>
            </c:strRef>
          </c:tx>
          <c:spPr>
            <a:ln w="21960">
              <a:solidFill>
                <a:srgbClr val="1F4E9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'8_参考_論文図3-4再現'!$A$5:$A$65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'8_参考_論文図3-4再現'!$D$5:$D$65</c:f>
              <c:numCache>
                <c:formatCode>0.0%</c:formatCode>
                <c:ptCount val="61"/>
                <c:pt idx="0">
                  <c:v>0</c:v>
                </c:pt>
                <c:pt idx="1">
                  <c:v>3.889198142416541E-2</c:v>
                </c:pt>
                <c:pt idx="2">
                  <c:v>8.1156069903428052E-2</c:v>
                </c:pt>
                <c:pt idx="3">
                  <c:v>0.10795270606001517</c:v>
                </c:pt>
                <c:pt idx="4">
                  <c:v>0.12905713527280097</c:v>
                </c:pt>
                <c:pt idx="5">
                  <c:v>0.14876096971744102</c:v>
                </c:pt>
                <c:pt idx="6">
                  <c:v>0.1684852322335979</c:v>
                </c:pt>
                <c:pt idx="7">
                  <c:v>0.18854453781280966</c:v>
                </c:pt>
                <c:pt idx="8">
                  <c:v>0.20886198019631155</c:v>
                </c:pt>
                <c:pt idx="9">
                  <c:v>0.22924677709680027</c:v>
                </c:pt>
                <c:pt idx="10">
                  <c:v>0.24949940234531234</c:v>
                </c:pt>
                <c:pt idx="11">
                  <c:v>0.26944798711960505</c:v>
                </c:pt>
                <c:pt idx="12">
                  <c:v>0.28895732861963574</c:v>
                </c:pt>
                <c:pt idx="13">
                  <c:v>0.30792739667483227</c:v>
                </c:pt>
                <c:pt idx="14">
                  <c:v>0.32628832775751776</c:v>
                </c:pt>
                <c:pt idx="15">
                  <c:v>0.34399476120772865</c:v>
                </c:pt>
                <c:pt idx="16">
                  <c:v>0.36102061289580456</c:v>
                </c:pt>
                <c:pt idx="17">
                  <c:v>0.37735463212180603</c:v>
                </c:pt>
                <c:pt idx="18">
                  <c:v>0.39299677730231136</c:v>
                </c:pt>
                <c:pt idx="19">
                  <c:v>0.40795532834079251</c:v>
                </c:pt>
                <c:pt idx="20">
                  <c:v>0.42224461950370945</c:v>
                </c:pt>
                <c:pt idx="21">
                  <c:v>0.43588327729886545</c:v>
                </c:pt>
                <c:pt idx="22">
                  <c:v>0.44889286140734441</c:v>
                </c:pt>
                <c:pt idx="23">
                  <c:v>0.46129682356019192</c:v>
                </c:pt>
                <c:pt idx="24">
                  <c:v>0.47311971539903819</c:v>
                </c:pt>
                <c:pt idx="25">
                  <c:v>0.48438659039148108</c:v>
                </c:pt>
                <c:pt idx="26">
                  <c:v>0.49512255648825654</c:v>
                </c:pt>
                <c:pt idx="27">
                  <c:v>0.50535244557317538</c:v>
                </c:pt>
                <c:pt idx="28">
                  <c:v>0.51510057318962432</c:v>
                </c:pt>
                <c:pt idx="29">
                  <c:v>0.52439056787395988</c:v>
                </c:pt>
                <c:pt idx="30">
                  <c:v>0.5332452540007101</c:v>
                </c:pt>
                <c:pt idx="31">
                  <c:v>0.54168657561352729</c:v>
                </c:pt>
                <c:pt idx="32">
                  <c:v>0.54973555149653563</c:v>
                </c:pt>
                <c:pt idx="33">
                  <c:v>0.55741225390638638</c:v>
                </c:pt>
                <c:pt idx="34">
                  <c:v>0.56473580507235721</c:v>
                </c:pt>
                <c:pt idx="35">
                  <c:v>0.57172438688679383</c:v>
                </c:pt>
                <c:pt idx="36">
                  <c:v>0.57839526023390242</c:v>
                </c:pt>
                <c:pt idx="37">
                  <c:v>0.58476479120565861</c:v>
                </c:pt>
                <c:pt idx="38">
                  <c:v>0.59084848207921348</c:v>
                </c:pt>
                <c:pt idx="39">
                  <c:v>0.59666100541923339</c:v>
                </c:pt>
                <c:pt idx="40">
                  <c:v>0.60221624005111163</c:v>
                </c:pt>
                <c:pt idx="41">
                  <c:v>0.6075273079501331</c:v>
                </c:pt>
                <c:pt idx="42">
                  <c:v>0.61260661132561545</c:v>
                </c:pt>
                <c:pt idx="43">
                  <c:v>0.61746586936183778</c:v>
                </c:pt>
                <c:pt idx="44">
                  <c:v>0.62211615422022981</c:v>
                </c:pt>
                <c:pt idx="45">
                  <c:v>0.62656792601842892</c:v>
                </c:pt>
                <c:pt idx="46">
                  <c:v>0.63083106658814891</c:v>
                </c:pt>
                <c:pt idx="47">
                  <c:v>0.63491491188063787</c:v>
                </c:pt>
                <c:pt idx="48">
                  <c:v>0.6388282829399925</c:v>
                </c:pt>
                <c:pt idx="49">
                  <c:v>0.64257951540399127</c:v>
                </c:pt>
                <c:pt idx="50">
                  <c:v>0.64617648752202805</c:v>
                </c:pt>
                <c:pt idx="51">
                  <c:v>0.64962664670215031</c:v>
                </c:pt>
                <c:pt idx="52">
                  <c:v>0.65293703461580233</c:v>
                </c:pt>
                <c:pt idx="53">
                  <c:v>0.65611431090085448</c:v>
                </c:pt>
                <c:pt idx="54">
                  <c:v>0.65916477551191588</c:v>
                </c:pt>
                <c:pt idx="55">
                  <c:v>0.66209438977255286</c:v>
                </c:pt>
                <c:pt idx="56">
                  <c:v>0.66490879618750109</c:v>
                </c:pt>
                <c:pt idx="57">
                  <c:v>0.66761333707476966</c:v>
                </c:pt>
                <c:pt idx="58">
                  <c:v>0.67021307207808256</c:v>
                </c:pt>
                <c:pt idx="59">
                  <c:v>0.67271279461969746</c:v>
                </c:pt>
                <c:pt idx="60">
                  <c:v>0.67511704735251832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B7-4D2D-A1A1-3B2241829165}"/>
            </c:ext>
          </c:extLst>
        </c:ser>
        <c:ser>
          <c:idx val="3"/>
          <c:order val="3"/>
          <c:tx>
            <c:strRef>
              <c:f>'8_参考_論文図3-4再現'!$E$4</c:f>
              <c:strCache>
                <c:ptCount val="1"/>
                <c:pt idx="0">
                  <c:v>非製造業</c:v>
                </c:pt>
              </c:strCache>
            </c:strRef>
          </c:tx>
          <c:spPr>
            <a:ln w="21960">
              <a:solidFill>
                <a:srgbClr val="D0201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'8_参考_論文図3-4再現'!$A$5:$A$65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'8_参考_論文図3-4再現'!$E$5:$E$65</c:f>
              <c:numCache>
                <c:formatCode>0.0%</c:formatCode>
                <c:ptCount val="61"/>
                <c:pt idx="0">
                  <c:v>0</c:v>
                </c:pt>
                <c:pt idx="1">
                  <c:v>7.1486095075782768E-2</c:v>
                </c:pt>
                <c:pt idx="2">
                  <c:v>0.1152451912703191</c:v>
                </c:pt>
                <c:pt idx="3">
                  <c:v>0.14857333699774208</c:v>
                </c:pt>
                <c:pt idx="4">
                  <c:v>0.17719584383756831</c:v>
                </c:pt>
                <c:pt idx="5">
                  <c:v>0.20290841376454122</c:v>
                </c:pt>
                <c:pt idx="6">
                  <c:v>0.22648553007971431</c:v>
                </c:pt>
                <c:pt idx="7">
                  <c:v>0.2483463259963419</c:v>
                </c:pt>
                <c:pt idx="8">
                  <c:v>0.26875750614297539</c:v>
                </c:pt>
                <c:pt idx="9">
                  <c:v>0.28790868585742735</c:v>
                </c:pt>
                <c:pt idx="10">
                  <c:v>0.30594494097649783</c:v>
                </c:pt>
                <c:pt idx="11">
                  <c:v>0.32298274753471895</c:v>
                </c:pt>
                <c:pt idx="12">
                  <c:v>0.33911866963557563</c:v>
                </c:pt>
                <c:pt idx="13">
                  <c:v>0.35443454890070131</c:v>
                </c:pt>
                <c:pt idx="14">
                  <c:v>0.36900085173661828</c:v>
                </c:pt>
                <c:pt idx="15">
                  <c:v>0.3828789681525761</c:v>
                </c:pt>
                <c:pt idx="16">
                  <c:v>0.39612287151268549</c:v>
                </c:pt>
                <c:pt idx="17">
                  <c:v>0.40878036486206543</c:v>
                </c:pt>
                <c:pt idx="18">
                  <c:v>0.42089404590550256</c:v>
                </c:pt>
                <c:pt idx="19">
                  <c:v>0.43250207225374887</c:v>
                </c:pt>
                <c:pt idx="20">
                  <c:v>0.44363877985581923</c:v>
                </c:pt>
                <c:pt idx="21">
                  <c:v>0.45433519040393167</c:v>
                </c:pt>
                <c:pt idx="22">
                  <c:v>0.46461943280615947</c:v>
                </c:pt>
                <c:pt idx="23">
                  <c:v>0.47451709687657873</c:v>
                </c:pt>
                <c:pt idx="24">
                  <c:v>0.48405153271668006</c:v>
                </c:pt>
                <c:pt idx="25">
                  <c:v>0.49324410601271046</c:v>
                </c:pt>
                <c:pt idx="26">
                  <c:v>0.50211441715294725</c:v>
                </c:pt>
                <c:pt idx="27">
                  <c:v>0.51068049037129348</c:v>
                </c:pt>
                <c:pt idx="28">
                  <c:v>0.51895893785590785</c:v>
                </c:pt>
                <c:pt idx="29">
                  <c:v>0.52696510279797149</c:v>
                </c:pt>
                <c:pt idx="30">
                  <c:v>0.53471318461189454</c:v>
                </c:pt>
                <c:pt idx="31">
                  <c:v>0.54221634897646753</c:v>
                </c:pt>
                <c:pt idx="32">
                  <c:v>0.54948682488605793</c:v>
                </c:pt>
                <c:pt idx="33">
                  <c:v>0.55653599053292468</c:v>
                </c:pt>
                <c:pt idx="34">
                  <c:v>0.56337444954486238</c:v>
                </c:pt>
                <c:pt idx="35">
                  <c:v>0.5700120988610361</c:v>
                </c:pt>
                <c:pt idx="36">
                  <c:v>0.57645818933122106</c:v>
                </c:pt>
                <c:pt idx="37">
                  <c:v>0.58272137996076279</c:v>
                </c:pt>
                <c:pt idx="38">
                  <c:v>0.58880978658853644</c:v>
                </c:pt>
                <c:pt idx="39">
                  <c:v>0.59473102567260372</c:v>
                </c:pt>
                <c:pt idx="40">
                  <c:v>0.60049225376398629</c:v>
                </c:pt>
                <c:pt idx="41">
                  <c:v>0.60610020316962177</c:v>
                </c:pt>
                <c:pt idx="42">
                  <c:v>0.61156121423850163</c:v>
                </c:pt>
                <c:pt idx="43">
                  <c:v>0.61688126464811066</c:v>
                </c:pt>
                <c:pt idx="44">
                  <c:v>0.62206599601979984</c:v>
                </c:pt>
                <c:pt idx="45">
                  <c:v>0.62712073815032188</c:v>
                </c:pt>
                <c:pt idx="46">
                  <c:v>0.63205053111123066</c:v>
                </c:pt>
                <c:pt idx="47">
                  <c:v>0.63686014543728153</c:v>
                </c:pt>
                <c:pt idx="48">
                  <c:v>0.64155410059860496</c:v>
                </c:pt>
                <c:pt idx="49">
                  <c:v>0.6461366819286023</c:v>
                </c:pt>
                <c:pt idx="50">
                  <c:v>0.6506119561597089</c:v>
                </c:pt>
                <c:pt idx="51">
                  <c:v>0.65498378570194093</c:v>
                </c:pt>
                <c:pt idx="52">
                  <c:v>0.65925584178411734</c:v>
                </c:pt>
                <c:pt idx="53">
                  <c:v>0.66343161656450111</c:v>
                </c:pt>
                <c:pt idx="54">
                  <c:v>0.66751443430609914</c:v>
                </c:pt>
                <c:pt idx="55">
                  <c:v>0.67150746170173281</c:v>
                </c:pt>
                <c:pt idx="56">
                  <c:v>0.67541371742510692</c:v>
                </c:pt>
                <c:pt idx="57">
                  <c:v>0.67923608097623023</c:v>
                </c:pt>
                <c:pt idx="58">
                  <c:v>0.68297730088262154</c:v>
                </c:pt>
                <c:pt idx="59">
                  <c:v>0.68664000231157951</c:v>
                </c:pt>
                <c:pt idx="60">
                  <c:v>0.69022669414333937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B7-4D2D-A1A1-3B2241829165}"/>
            </c:ext>
          </c:extLst>
        </c:ser>
        <c:ser>
          <c:idx val="4"/>
          <c:order val="4"/>
          <c:tx>
            <c:strRef>
              <c:f>'8_参考_論文図3-4再現'!$F$4</c:f>
              <c:strCache>
                <c:ptCount val="1"/>
                <c:pt idx="0">
                  <c:v>卸売・小売業</c:v>
                </c:pt>
              </c:strCache>
            </c:strRef>
          </c:tx>
          <c:spPr>
            <a:ln w="21960">
              <a:solidFill>
                <a:srgbClr val="D0201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'8_参考_論文図3-4再現'!$A$5:$A$65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'8_参考_論文図3-4再現'!$F$5:$F$65</c:f>
              <c:numCache>
                <c:formatCode>0.0%</c:formatCode>
                <c:ptCount val="61"/>
                <c:pt idx="0">
                  <c:v>0</c:v>
                </c:pt>
                <c:pt idx="1">
                  <c:v>0.11488358061841376</c:v>
                </c:pt>
                <c:pt idx="2">
                  <c:v>0.18748368852819711</c:v>
                </c:pt>
                <c:pt idx="3">
                  <c:v>0.24268146643097432</c:v>
                </c:pt>
                <c:pt idx="4">
                  <c:v>0.28782014450730165</c:v>
                </c:pt>
                <c:pt idx="5">
                  <c:v>0.32613068893333791</c:v>
                </c:pt>
                <c:pt idx="6">
                  <c:v>0.35941434012157258</c:v>
                </c:pt>
                <c:pt idx="7">
                  <c:v>0.38880830802815014</c:v>
                </c:pt>
                <c:pt idx="8">
                  <c:v>0.41508825020223716</c:v>
                </c:pt>
                <c:pt idx="9">
                  <c:v>0.43881201552476018</c:v>
                </c:pt>
                <c:pt idx="10">
                  <c:v>0.46039668853143062</c:v>
                </c:pt>
                <c:pt idx="11">
                  <c:v>0.48016354247906284</c:v>
                </c:pt>
                <c:pt idx="12">
                  <c:v>0.49836598066648141</c:v>
                </c:pt>
                <c:pt idx="13">
                  <c:v>0.51520777691522601</c:v>
                </c:pt>
                <c:pt idx="14">
                  <c:v>0.53085545951121094</c:v>
                </c:pt>
                <c:pt idx="15">
                  <c:v>0.54544699352141568</c:v>
                </c:pt>
                <c:pt idx="16">
                  <c:v>0.5590980335315785</c:v>
                </c:pt>
                <c:pt idx="17">
                  <c:v>0.57190653048425144</c:v>
                </c:pt>
                <c:pt idx="18">
                  <c:v>0.5839561930982774</c:v>
                </c:pt>
                <c:pt idx="19">
                  <c:v>0.59531913345202914</c:v>
                </c:pt>
                <c:pt idx="20">
                  <c:v>0.60605791960348288</c:v>
                </c:pt>
                <c:pt idx="21">
                  <c:v>0.61622718949217226</c:v>
                </c:pt>
                <c:pt idx="22">
                  <c:v>0.62587493507447045</c:v>
                </c:pt>
                <c:pt idx="23">
                  <c:v>0.63504353505965516</c:v>
                </c:pt>
                <c:pt idx="24">
                  <c:v>0.643770593538455</c:v>
                </c:pt>
                <c:pt idx="25">
                  <c:v>0.65208962700518469</c:v>
                </c:pt>
                <c:pt idx="26">
                  <c:v>0.66003063172283161</c:v>
                </c:pt>
                <c:pt idx="27">
                  <c:v>0.66762055573978674</c:v>
                </c:pt>
                <c:pt idx="28">
                  <c:v>0.67488369425859474</c:v>
                </c:pt>
                <c:pt idx="29">
                  <c:v>0.68184202288910178</c:v>
                </c:pt>
                <c:pt idx="30">
                  <c:v>0.68851548018524866</c:v>
                </c:pt>
                <c:pt idx="31">
                  <c:v>0.69492220848464481</c:v>
                </c:pt>
                <c:pt idx="32">
                  <c:v>0.70107876024426841</c:v>
                </c:pt>
                <c:pt idx="33">
                  <c:v>0.70700027565238233</c:v>
                </c:pt>
                <c:pt idx="34">
                  <c:v>0.7127006361935373</c:v>
                </c:pt>
                <c:pt idx="35">
                  <c:v>0.71819259797559887</c:v>
                </c:pt>
                <c:pt idx="36">
                  <c:v>0.72348790793982087</c:v>
                </c:pt>
                <c:pt idx="37">
                  <c:v>0.72859740552600816</c:v>
                </c:pt>
                <c:pt idx="38">
                  <c:v>0.73353111192387332</c:v>
                </c:pt>
                <c:pt idx="39">
                  <c:v>0.73829830868532176</c:v>
                </c:pt>
                <c:pt idx="40">
                  <c:v>0.7429076071827706</c:v>
                </c:pt>
                <c:pt idx="41">
                  <c:v>0.74736701016189022</c:v>
                </c:pt>
                <c:pt idx="42">
                  <c:v>0.75168396644271473</c:v>
                </c:pt>
                <c:pt idx="43">
                  <c:v>0.7558654196625606</c:v>
                </c:pt>
                <c:pt idx="44">
                  <c:v>0.75991785182107718</c:v>
                </c:pt>
                <c:pt idx="45">
                  <c:v>0.76384732227688046</c:v>
                </c:pt>
                <c:pt idx="46">
                  <c:v>0.76765950275246442</c:v>
                </c:pt>
                <c:pt idx="47">
                  <c:v>0.77135970882620797</c:v>
                </c:pt>
                <c:pt idx="48">
                  <c:v>0.7749529283246166</c:v>
                </c:pt>
                <c:pt idx="49">
                  <c:v>0.77844384697238389</c:v>
                </c:pt>
                <c:pt idx="50">
                  <c:v>0.78183687161068482</c:v>
                </c:pt>
                <c:pt idx="51">
                  <c:v>0.78513615125391634</c:v>
                </c:pt>
                <c:pt idx="52">
                  <c:v>0.7883455962207615</c:v>
                </c:pt>
                <c:pt idx="53">
                  <c:v>0.79146889554599975</c:v>
                </c:pt>
                <c:pt idx="54">
                  <c:v>0.79450953285417769</c:v>
                </c:pt>
                <c:pt idx="55">
                  <c:v>0.79747080085441246</c:v>
                </c:pt>
                <c:pt idx="56">
                  <c:v>0.80035581459673921</c:v>
                </c:pt>
                <c:pt idx="57">
                  <c:v>0.8031675236140412</c:v>
                </c:pt>
                <c:pt idx="58">
                  <c:v>0.80590872305938777</c:v>
                </c:pt>
                <c:pt idx="59">
                  <c:v>0.80858206393621668</c:v>
                </c:pt>
                <c:pt idx="60">
                  <c:v>0.81119006250797843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B7-4D2D-A1A1-3B2241829165}"/>
            </c:ext>
          </c:extLst>
        </c:ser>
        <c:ser>
          <c:idx val="5"/>
          <c:order val="5"/>
          <c:tx>
            <c:strRef>
              <c:f>'8_参考_論文図3-4再現'!$G$4</c:f>
              <c:strCache>
                <c:ptCount val="1"/>
                <c:pt idx="0">
                  <c:v>サービス業</c:v>
                </c:pt>
              </c:strCache>
            </c:strRef>
          </c:tx>
          <c:spPr>
            <a:ln w="21960">
              <a:solidFill>
                <a:srgbClr val="D0201E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'8_参考_論文図3-4再現'!$A$5:$A$65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</c:numCache>
            </c:numRef>
          </c:xVal>
          <c:yVal>
            <c:numRef>
              <c:f>'8_参考_論文図3-4再現'!$G$5:$G$65</c:f>
              <c:numCache>
                <c:formatCode>0.0%</c:formatCode>
                <c:ptCount val="61"/>
                <c:pt idx="0">
                  <c:v>0</c:v>
                </c:pt>
                <c:pt idx="1">
                  <c:v>0.18596702129683981</c:v>
                </c:pt>
                <c:pt idx="2">
                  <c:v>0.23456337418877682</c:v>
                </c:pt>
                <c:pt idx="3">
                  <c:v>0.26739571761827713</c:v>
                </c:pt>
                <c:pt idx="4">
                  <c:v>0.29269892500370526</c:v>
                </c:pt>
                <c:pt idx="5">
                  <c:v>0.31345324712103312</c:v>
                </c:pt>
                <c:pt idx="6">
                  <c:v>0.33111904917541674</c:v>
                </c:pt>
                <c:pt idx="7">
                  <c:v>0.34653319746880079</c:v>
                </c:pt>
                <c:pt idx="8">
                  <c:v>0.36022458040095118</c:v>
                </c:pt>
                <c:pt idx="9">
                  <c:v>0.37255082478360962</c:v>
                </c:pt>
                <c:pt idx="10">
                  <c:v>0.3837660755547283</c:v>
                </c:pt>
                <c:pt idx="11">
                  <c:v>0.39405796749668981</c:v>
                </c:pt>
                <c:pt idx="12">
                  <c:v>0.40356929196232749</c:v>
                </c:pt>
                <c:pt idx="13">
                  <c:v>0.41241142619032956</c:v>
                </c:pt>
                <c:pt idx="14">
                  <c:v>0.42067304081243084</c:v>
                </c:pt>
                <c:pt idx="15">
                  <c:v>0.42842595920752902</c:v>
                </c:pt>
                <c:pt idx="16">
                  <c:v>0.43572922489402754</c:v>
                </c:pt>
                <c:pt idx="17">
                  <c:v>0.44263200074415732</c:v>
                </c:pt>
                <c:pt idx="18">
                  <c:v>0.44917568322249263</c:v>
                </c:pt>
                <c:pt idx="19">
                  <c:v>0.4553954751374939</c:v>
                </c:pt>
                <c:pt idx="20">
                  <c:v>0.46132157621510494</c:v>
                </c:pt>
                <c:pt idx="21">
                  <c:v>0.46698009843316074</c:v>
                </c:pt>
                <c:pt idx="22">
                  <c:v>0.47239377954547807</c:v>
                </c:pt>
                <c:pt idx="23">
                  <c:v>0.47758254624218133</c:v>
                </c:pt>
                <c:pt idx="24">
                  <c:v>0.48256396364866116</c:v>
                </c:pt>
                <c:pt idx="25">
                  <c:v>0.48735359777708187</c:v>
                </c:pt>
                <c:pt idx="26">
                  <c:v>0.49196531051602199</c:v>
                </c:pt>
                <c:pt idx="27">
                  <c:v>0.49641150176671756</c:v>
                </c:pt>
                <c:pt idx="28">
                  <c:v>0.5007033097569088</c:v>
                </c:pt>
                <c:pt idx="29">
                  <c:v>0.50485077795651712</c:v>
                </c:pt>
                <c:pt idx="30">
                  <c:v>0.50886299509592725</c:v>
                </c:pt>
                <c:pt idx="31">
                  <c:v>0.51274821335188037</c:v>
                </c:pt>
                <c:pt idx="32">
                  <c:v>0.5165139486826883</c:v>
                </c:pt>
                <c:pt idx="33">
                  <c:v>0.52016706646896704</c:v>
                </c:pt>
                <c:pt idx="34">
                  <c:v>0.52371385498116063</c:v>
                </c:pt>
                <c:pt idx="35">
                  <c:v>0.52716008870254671</c:v>
                </c:pt>
                <c:pt idx="36">
                  <c:v>0.53051108315116891</c:v>
                </c:pt>
                <c:pt idx="37">
                  <c:v>0.53377174254054571</c:v>
                </c:pt>
                <c:pt idx="38">
                  <c:v>0.53694660137805272</c:v>
                </c:pt>
                <c:pt idx="39">
                  <c:v>0.54003986090734712</c:v>
                </c:pt>
                <c:pt idx="40">
                  <c:v>0.54305542114639926</c:v>
                </c:pt>
                <c:pt idx="41">
                  <c:v>0.54599690914746968</c:v>
                </c:pt>
                <c:pt idx="42">
                  <c:v>0.5488677040035107</c:v>
                </c:pt>
                <c:pt idx="43">
                  <c:v>0.55167095904216745</c:v>
                </c:pt>
                <c:pt idx="44">
                  <c:v>0.55440962158006113</c:v>
                </c:pt>
                <c:pt idx="45">
                  <c:v>0.55708645055349515</c:v>
                </c:pt>
                <c:pt idx="46">
                  <c:v>0.55970403229477572</c:v>
                </c:pt>
                <c:pt idx="47">
                  <c:v>0.56226479468423451</c:v>
                </c:pt>
                <c:pt idx="48">
                  <c:v>0.56477101987530187</c:v>
                </c:pt>
                <c:pt idx="49">
                  <c:v>0.5672248557624795</c:v>
                </c:pt>
                <c:pt idx="50">
                  <c:v>0.56962832633885907</c:v>
                </c:pt>
                <c:pt idx="51">
                  <c:v>0.57198334107020166</c:v>
                </c:pt>
                <c:pt idx="52">
                  <c:v>0.57429170339590774</c:v>
                </c:pt>
                <c:pt idx="53">
                  <c:v>0.57655511845299456</c:v>
                </c:pt>
                <c:pt idx="54">
                  <c:v>0.57877520010703609</c:v>
                </c:pt>
                <c:pt idx="55">
                  <c:v>0.58095347736360381</c:v>
                </c:pt>
                <c:pt idx="56">
                  <c:v>0.58309140022476513</c:v>
                </c:pt>
                <c:pt idx="57">
                  <c:v>0.58519034504747347</c:v>
                </c:pt>
                <c:pt idx="58">
                  <c:v>0.58725161945397875</c:v>
                </c:pt>
                <c:pt idx="59">
                  <c:v>0.58927646683859014</c:v>
                </c:pt>
                <c:pt idx="60">
                  <c:v>0.59126607051007274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B7-4D2D-A1A1-3B224182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20958"/>
        <c:axId val="89438402"/>
      </c:scatterChart>
      <c:valAx>
        <c:axId val="93520958"/>
        <c:scaling>
          <c:orientation val="minMax"/>
          <c:max val="6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浸水深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89438402"/>
        <c:crosses val="autoZero"/>
        <c:crossBetween val="midCat"/>
      </c:valAx>
      <c:valAx>
        <c:axId val="8943840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復旧費用率の期待値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35209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147600</xdr:colOff>
      <xdr:row>15</xdr:row>
      <xdr:rowOff>166680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154800</xdr:rowOff>
    </xdr:from>
    <xdr:to>
      <xdr:col>18</xdr:col>
      <xdr:colOff>476250</xdr:colOff>
      <xdr:row>33</xdr:row>
      <xdr:rowOff>166680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147600</xdr:colOff>
      <xdr:row>15</xdr:row>
      <xdr:rowOff>166680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154800</xdr:rowOff>
    </xdr:from>
    <xdr:to>
      <xdr:col>18</xdr:col>
      <xdr:colOff>147600</xdr:colOff>
      <xdr:row>33</xdr:row>
      <xdr:rowOff>166680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147600</xdr:colOff>
      <xdr:row>15</xdr:row>
      <xdr:rowOff>166680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17</xdr:row>
      <xdr:rowOff>154800</xdr:rowOff>
    </xdr:from>
    <xdr:to>
      <xdr:col>18</xdr:col>
      <xdr:colOff>147600</xdr:colOff>
      <xdr:row>33</xdr:row>
      <xdr:rowOff>166680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22</xdr:col>
      <xdr:colOff>147600</xdr:colOff>
      <xdr:row>15</xdr:row>
      <xdr:rowOff>166680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17</xdr:row>
      <xdr:rowOff>154800</xdr:rowOff>
    </xdr:from>
    <xdr:to>
      <xdr:col>22</xdr:col>
      <xdr:colOff>147600</xdr:colOff>
      <xdr:row>33</xdr:row>
      <xdr:rowOff>166680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22</xdr:col>
      <xdr:colOff>147600</xdr:colOff>
      <xdr:row>15</xdr:row>
      <xdr:rowOff>166680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17</xdr:row>
      <xdr:rowOff>154800</xdr:rowOff>
    </xdr:from>
    <xdr:to>
      <xdr:col>22</xdr:col>
      <xdr:colOff>147600</xdr:colOff>
      <xdr:row>33</xdr:row>
      <xdr:rowOff>166680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22</xdr:col>
      <xdr:colOff>147600</xdr:colOff>
      <xdr:row>15</xdr:row>
      <xdr:rowOff>166680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17</xdr:row>
      <xdr:rowOff>154800</xdr:rowOff>
    </xdr:from>
    <xdr:to>
      <xdr:col>22</xdr:col>
      <xdr:colOff>147600</xdr:colOff>
      <xdr:row>33</xdr:row>
      <xdr:rowOff>166680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1114425</xdr:colOff>
      <xdr:row>2</xdr:row>
      <xdr:rowOff>182490</xdr:rowOff>
    </xdr:from>
    <xdr:to>
      <xdr:col>19</xdr:col>
      <xdr:colOff>533400</xdr:colOff>
      <xdr:row>21</xdr:row>
      <xdr:rowOff>135330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2</xdr:row>
      <xdr:rowOff>136080</xdr:rowOff>
    </xdr:from>
    <xdr:to>
      <xdr:col>17</xdr:col>
      <xdr:colOff>552450</xdr:colOff>
      <xdr:row>21</xdr:row>
      <xdr:rowOff>88920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F1" sqref="F1"/>
    </sheetView>
  </sheetViews>
  <sheetFormatPr defaultColWidth="8.7109375" defaultRowHeight="15"/>
  <cols>
    <col min="1" max="1" width="14" customWidth="1"/>
    <col min="2" max="7" width="24" customWidth="1"/>
  </cols>
  <sheetData>
    <row r="1" spans="1:7" ht="18">
      <c r="A1" s="1" t="s">
        <v>0</v>
      </c>
    </row>
    <row r="2" spans="1:7" ht="18.75">
      <c r="A2" s="13" t="s">
        <v>59</v>
      </c>
    </row>
    <row r="4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18.75">
      <c r="A5" s="4" t="s">
        <v>8</v>
      </c>
      <c r="B5" s="4">
        <v>3.16</v>
      </c>
      <c r="C5" s="4">
        <v>3.49</v>
      </c>
      <c r="D5" s="4">
        <v>2.72</v>
      </c>
      <c r="E5" s="4">
        <v>2.27</v>
      </c>
      <c r="F5" s="4">
        <v>2.0499999999999998</v>
      </c>
      <c r="G5" s="4">
        <v>-0.08</v>
      </c>
    </row>
    <row r="6" spans="1:7" ht="18.75">
      <c r="A6" s="4" t="s">
        <v>9</v>
      </c>
      <c r="B6" s="4">
        <v>5.09</v>
      </c>
      <c r="C6" s="4">
        <v>5</v>
      </c>
      <c r="D6" s="4">
        <v>4.99</v>
      </c>
      <c r="E6" s="4">
        <v>4.76</v>
      </c>
      <c r="F6" s="4">
        <v>4.04</v>
      </c>
      <c r="G6" s="4">
        <v>4.46</v>
      </c>
    </row>
    <row r="7" spans="1:7" ht="18.75">
      <c r="A7" s="4" t="s">
        <v>10</v>
      </c>
      <c r="B7" s="4">
        <v>6.04</v>
      </c>
      <c r="C7" s="4">
        <v>6.32</v>
      </c>
      <c r="D7" s="4">
        <v>5.59</v>
      </c>
      <c r="E7" s="4">
        <v>5.73</v>
      </c>
      <c r="F7" s="4">
        <v>5.0599999999999996</v>
      </c>
      <c r="G7" s="4">
        <v>6.22</v>
      </c>
    </row>
    <row r="8" spans="1:7" ht="18.75">
      <c r="A8" s="4" t="s">
        <v>11</v>
      </c>
      <c r="B8" s="5" t="s">
        <v>12</v>
      </c>
      <c r="C8" s="5" t="s">
        <v>12</v>
      </c>
      <c r="D8" s="5" t="s">
        <v>12</v>
      </c>
      <c r="E8" s="4">
        <v>6.3</v>
      </c>
      <c r="F8" s="4">
        <v>5.61</v>
      </c>
      <c r="G8" s="4">
        <v>6.62</v>
      </c>
    </row>
    <row r="9" spans="1:7" ht="18.75">
      <c r="A9" s="4" t="s">
        <v>13</v>
      </c>
      <c r="B9" s="5" t="s">
        <v>12</v>
      </c>
      <c r="C9" s="5" t="s">
        <v>12</v>
      </c>
      <c r="D9" s="5" t="s">
        <v>12</v>
      </c>
      <c r="E9" s="4">
        <v>7.22</v>
      </c>
      <c r="F9" s="4">
        <v>6.06</v>
      </c>
      <c r="G9" s="4">
        <v>8.4700000000000006</v>
      </c>
    </row>
    <row r="10" spans="1:7" ht="18.75">
      <c r="A10" s="4" t="s">
        <v>14</v>
      </c>
      <c r="B10" s="4">
        <v>0.89</v>
      </c>
      <c r="C10" s="4">
        <v>1.03</v>
      </c>
      <c r="D10" s="4">
        <v>0.84</v>
      </c>
      <c r="E10" s="4">
        <v>1.27</v>
      </c>
      <c r="F10" s="4">
        <v>1.51</v>
      </c>
      <c r="G10" s="4">
        <v>2.66</v>
      </c>
    </row>
    <row r="11" spans="1:7" ht="18.75">
      <c r="A11" s="6" t="s">
        <v>15</v>
      </c>
      <c r="B11" s="6">
        <v>42</v>
      </c>
      <c r="C11" s="6">
        <v>20</v>
      </c>
      <c r="D11" s="6">
        <v>14</v>
      </c>
      <c r="E11" s="6">
        <v>125</v>
      </c>
      <c r="F11" s="6">
        <v>39</v>
      </c>
      <c r="G11" s="6">
        <v>55</v>
      </c>
    </row>
    <row r="12" spans="1:7" ht="18.75">
      <c r="A12" s="4" t="s">
        <v>16</v>
      </c>
      <c r="B12" s="6">
        <v>-36.53</v>
      </c>
      <c r="C12" s="6">
        <v>-19.77</v>
      </c>
      <c r="D12" s="6">
        <v>-10.99</v>
      </c>
      <c r="E12" s="6">
        <v>-164.76</v>
      </c>
      <c r="F12" s="6">
        <v>-56.78</v>
      </c>
      <c r="G12" s="6">
        <v>-77.2</v>
      </c>
    </row>
    <row r="13" spans="1:7" ht="18.75">
      <c r="A13" s="4" t="s">
        <v>17</v>
      </c>
      <c r="B13" s="6">
        <v>-58.22</v>
      </c>
      <c r="C13" s="6">
        <v>-27.73</v>
      </c>
      <c r="D13" s="6">
        <v>-19.41</v>
      </c>
      <c r="E13" s="6">
        <v>-223.97</v>
      </c>
      <c r="F13" s="6">
        <v>-69.88</v>
      </c>
      <c r="G13" s="6">
        <v>-98.55</v>
      </c>
    </row>
    <row r="14" spans="1:7" ht="18.75">
      <c r="A14" s="4" t="s">
        <v>18</v>
      </c>
      <c r="B14" s="6">
        <v>43.39</v>
      </c>
      <c r="C14" s="6">
        <v>15.9</v>
      </c>
      <c r="D14" s="6">
        <v>16.84</v>
      </c>
      <c r="E14" s="6">
        <v>118.42</v>
      </c>
      <c r="F14" s="6">
        <v>26.2</v>
      </c>
      <c r="G14" s="6">
        <v>42.69</v>
      </c>
    </row>
    <row r="15" spans="1:7" ht="18.75">
      <c r="A15" s="4" t="s">
        <v>19</v>
      </c>
      <c r="B15" s="6">
        <v>0.37</v>
      </c>
      <c r="C15" s="6">
        <v>0.28999999999999998</v>
      </c>
      <c r="D15" s="6">
        <v>0.43</v>
      </c>
      <c r="E15" s="6">
        <v>0.26</v>
      </c>
      <c r="F15" s="6">
        <v>0.19</v>
      </c>
      <c r="G15" s="6">
        <v>0.22</v>
      </c>
    </row>
    <row r="18" spans="1:5">
      <c r="A18" s="1" t="s">
        <v>20</v>
      </c>
    </row>
    <row r="19" spans="1:5" ht="36">
      <c r="A19" s="3" t="s">
        <v>21</v>
      </c>
      <c r="B19" s="3" t="s">
        <v>22</v>
      </c>
      <c r="C19" s="3" t="s">
        <v>23</v>
      </c>
      <c r="D19" s="3" t="s">
        <v>24</v>
      </c>
      <c r="E19" s="3" t="s">
        <v>25</v>
      </c>
    </row>
    <row r="20" spans="1:5" ht="18.75">
      <c r="A20" s="5">
        <v>0</v>
      </c>
      <c r="B20" s="7">
        <f>0%</f>
        <v>0</v>
      </c>
      <c r="C20" s="8">
        <v>0</v>
      </c>
      <c r="D20" s="7">
        <f>0%</f>
        <v>0</v>
      </c>
      <c r="E20" s="8">
        <v>0</v>
      </c>
    </row>
    <row r="21" spans="1:5" ht="18.75">
      <c r="A21" s="5">
        <v>1</v>
      </c>
      <c r="B21" s="4" t="s">
        <v>26</v>
      </c>
      <c r="C21" s="8">
        <v>0.25</v>
      </c>
      <c r="D21" s="4" t="s">
        <v>26</v>
      </c>
      <c r="E21" s="8">
        <v>0.25</v>
      </c>
    </row>
    <row r="22" spans="1:5" ht="18.75">
      <c r="A22" s="5">
        <v>2</v>
      </c>
      <c r="B22" s="4" t="s">
        <v>27</v>
      </c>
      <c r="C22" s="8">
        <v>0.5</v>
      </c>
      <c r="D22" s="4" t="s">
        <v>27</v>
      </c>
      <c r="E22" s="8">
        <v>0.5</v>
      </c>
    </row>
    <row r="23" spans="1:5" ht="18.75">
      <c r="A23" s="5">
        <v>3</v>
      </c>
      <c r="B23" s="4" t="s">
        <v>28</v>
      </c>
      <c r="C23" s="8">
        <v>1</v>
      </c>
      <c r="D23" s="4" t="s">
        <v>29</v>
      </c>
      <c r="E23" s="8">
        <v>0.75</v>
      </c>
    </row>
    <row r="24" spans="1:5" ht="18.75">
      <c r="A24" s="5">
        <v>4</v>
      </c>
      <c r="B24" s="6" t="s">
        <v>12</v>
      </c>
      <c r="C24" s="9" t="s">
        <v>12</v>
      </c>
      <c r="D24" s="4" t="s">
        <v>30</v>
      </c>
      <c r="E24" s="8">
        <v>0.9</v>
      </c>
    </row>
    <row r="25" spans="1:5" ht="18.75">
      <c r="A25" s="5">
        <v>5</v>
      </c>
      <c r="B25" s="6" t="s">
        <v>12</v>
      </c>
      <c r="C25" s="9" t="s">
        <v>12</v>
      </c>
      <c r="D25" s="7">
        <f>100%</f>
        <v>1</v>
      </c>
      <c r="E25" s="8">
        <v>1</v>
      </c>
    </row>
    <row r="27" spans="1:5" ht="18.75">
      <c r="A27" s="2" t="s">
        <v>31</v>
      </c>
    </row>
    <row r="28" spans="1:5" ht="18.75">
      <c r="A28" s="2" t="s">
        <v>32</v>
      </c>
    </row>
    <row r="29" spans="1:5" ht="18.75">
      <c r="A29" s="2" t="s">
        <v>33</v>
      </c>
    </row>
  </sheetData>
  <phoneticPr fontId="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11" sqref="I11"/>
    </sheetView>
  </sheetViews>
  <sheetFormatPr defaultColWidth="8.7109375" defaultRowHeight="15"/>
  <cols>
    <col min="1" max="1" width="12" customWidth="1"/>
    <col min="2" max="10" width="15" customWidth="1"/>
  </cols>
  <sheetData>
    <row r="1" spans="1:9">
      <c r="A1" s="1" t="s">
        <v>34</v>
      </c>
    </row>
    <row r="3" spans="1:9">
      <c r="A3" s="6" t="s">
        <v>21</v>
      </c>
      <c r="B3" s="5">
        <v>0</v>
      </c>
      <c r="C3" s="5">
        <v>1</v>
      </c>
      <c r="D3" s="5">
        <v>2</v>
      </c>
      <c r="E3" s="5">
        <v>3</v>
      </c>
    </row>
    <row r="4" spans="1:9" ht="18.75">
      <c r="A4" s="6" t="s">
        <v>35</v>
      </c>
      <c r="B4" s="8">
        <f>データ!$C$20</f>
        <v>0</v>
      </c>
      <c r="C4" s="8">
        <f>データ!$C$21</f>
        <v>0.25</v>
      </c>
      <c r="D4" s="8">
        <f>データ!$C$22</f>
        <v>0.5</v>
      </c>
      <c r="E4" s="8">
        <f>データ!$C$23</f>
        <v>1</v>
      </c>
    </row>
    <row r="5" spans="1:9" ht="18.75">
      <c r="A5" s="4" t="s">
        <v>36</v>
      </c>
      <c r="C5" s="10">
        <f>データ!$B$5</f>
        <v>3.16</v>
      </c>
      <c r="D5" s="10">
        <f>データ!$B$6</f>
        <v>5.09</v>
      </c>
      <c r="E5" s="10">
        <f>データ!$B$7</f>
        <v>6.04</v>
      </c>
    </row>
    <row r="6" spans="1:9" ht="18.75">
      <c r="A6" s="4" t="s">
        <v>14</v>
      </c>
      <c r="B6" s="10">
        <f>データ!$B$10</f>
        <v>0.89</v>
      </c>
    </row>
    <row r="7" spans="1:9" ht="18.75">
      <c r="A7" s="11"/>
    </row>
    <row r="9" spans="1:9" ht="37.5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35</v>
      </c>
    </row>
    <row r="10" spans="1:9" ht="18.75">
      <c r="A10" s="6">
        <v>0</v>
      </c>
      <c r="B10" s="6">
        <f t="shared" ref="B10:D29" si="0">IF($A10&lt;=0,0,_xlfn.NORM.S.DIST((LN($A10)-C$5)/$B$6,TRUE()))</f>
        <v>0</v>
      </c>
      <c r="C10" s="6">
        <f t="shared" si="0"/>
        <v>0</v>
      </c>
      <c r="D10" s="6">
        <f t="shared" si="0"/>
        <v>0</v>
      </c>
      <c r="E10" s="6">
        <f t="shared" ref="E10:E41" si="1">1-B10</f>
        <v>1</v>
      </c>
      <c r="F10" s="6">
        <f t="shared" ref="F10:F41" si="2">B10-C10</f>
        <v>0</v>
      </c>
      <c r="G10" s="6">
        <f t="shared" ref="G10:G41" si="3">C10-D10</f>
        <v>0</v>
      </c>
      <c r="H10" s="6">
        <f t="shared" ref="H10:H41" si="4">D10</f>
        <v>0</v>
      </c>
      <c r="I10" s="12">
        <f t="shared" ref="I10:I41" si="5">E10*$B$4+F10*$C$4+G10*$D$4+H10*$E$4</f>
        <v>0</v>
      </c>
    </row>
    <row r="11" spans="1:9" ht="18.75">
      <c r="A11" s="6">
        <v>10</v>
      </c>
      <c r="B11" s="6">
        <f t="shared" si="0"/>
        <v>0.16767653944219946</v>
      </c>
      <c r="C11" s="6">
        <f t="shared" si="0"/>
        <v>8.683156555794368E-4</v>
      </c>
      <c r="D11" s="6">
        <f t="shared" si="0"/>
        <v>1.3384552194387467E-5</v>
      </c>
      <c r="E11" s="6">
        <f t="shared" si="1"/>
        <v>0.83232346055780049</v>
      </c>
      <c r="F11" s="6">
        <f t="shared" si="2"/>
        <v>0.16680822378662002</v>
      </c>
      <c r="G11" s="6">
        <f t="shared" si="3"/>
        <v>8.5493110338504929E-4</v>
      </c>
      <c r="H11" s="6">
        <f t="shared" si="4"/>
        <v>1.3384552194387467E-5</v>
      </c>
      <c r="I11" s="12">
        <f t="shared" si="5"/>
        <v>4.2142906050541919E-2</v>
      </c>
    </row>
    <row r="12" spans="1:9" ht="18.75">
      <c r="A12" s="6">
        <v>20</v>
      </c>
      <c r="B12" s="6">
        <f t="shared" si="0"/>
        <v>0.42678297115155528</v>
      </c>
      <c r="C12" s="6">
        <f t="shared" si="0"/>
        <v>9.3085677794918671E-3</v>
      </c>
      <c r="D12" s="6">
        <f t="shared" si="0"/>
        <v>3.1250133940329206E-4</v>
      </c>
      <c r="E12" s="6">
        <f t="shared" si="1"/>
        <v>0.57321702884844472</v>
      </c>
      <c r="F12" s="6">
        <f t="shared" si="2"/>
        <v>0.41747440337206343</v>
      </c>
      <c r="G12" s="6">
        <f t="shared" si="3"/>
        <v>8.9960664400885754E-3</v>
      </c>
      <c r="H12" s="6">
        <f t="shared" si="4"/>
        <v>3.1250133940329206E-4</v>
      </c>
      <c r="I12" s="12">
        <f t="shared" si="5"/>
        <v>0.10917913540246343</v>
      </c>
    </row>
    <row r="13" spans="1:9" ht="18.75">
      <c r="A13" s="6">
        <v>30</v>
      </c>
      <c r="B13" s="6">
        <f t="shared" si="0"/>
        <v>0.60680767339703012</v>
      </c>
      <c r="C13" s="6">
        <f t="shared" si="0"/>
        <v>2.8878943585227329E-2</v>
      </c>
      <c r="D13" s="6">
        <f t="shared" si="0"/>
        <v>1.5136765712482209E-3</v>
      </c>
      <c r="E13" s="6">
        <f t="shared" si="1"/>
        <v>0.39319232660296988</v>
      </c>
      <c r="F13" s="6">
        <f t="shared" si="2"/>
        <v>0.57792872981180277</v>
      </c>
      <c r="G13" s="6">
        <f t="shared" si="3"/>
        <v>2.7365267013979108E-2</v>
      </c>
      <c r="H13" s="6">
        <f t="shared" si="4"/>
        <v>1.5136765712482209E-3</v>
      </c>
      <c r="I13" s="12">
        <f t="shared" si="5"/>
        <v>0.15967849253118849</v>
      </c>
    </row>
    <row r="14" spans="1:9" ht="18.75">
      <c r="A14" s="6">
        <v>40</v>
      </c>
      <c r="B14" s="6">
        <f t="shared" si="0"/>
        <v>0.72382639806039517</v>
      </c>
      <c r="C14" s="6">
        <f t="shared" si="0"/>
        <v>5.7709892760682169E-2</v>
      </c>
      <c r="D14" s="6">
        <f t="shared" si="0"/>
        <v>4.1244511277273282E-3</v>
      </c>
      <c r="E14" s="6">
        <f t="shared" si="1"/>
        <v>0.27617360193960483</v>
      </c>
      <c r="F14" s="6">
        <f t="shared" si="2"/>
        <v>0.666116505299713</v>
      </c>
      <c r="G14" s="6">
        <f t="shared" si="3"/>
        <v>5.3585441632954839E-2</v>
      </c>
      <c r="H14" s="6">
        <f t="shared" si="4"/>
        <v>4.1244511277273282E-3</v>
      </c>
      <c r="I14" s="12">
        <f t="shared" si="5"/>
        <v>0.19744629826913299</v>
      </c>
    </row>
    <row r="15" spans="1:9" ht="18.75">
      <c r="A15" s="6">
        <v>50</v>
      </c>
      <c r="B15" s="6">
        <f t="shared" si="0"/>
        <v>0.80093611301141965</v>
      </c>
      <c r="C15" s="6">
        <f t="shared" si="0"/>
        <v>9.282300404544383E-2</v>
      </c>
      <c r="D15" s="6">
        <f t="shared" si="0"/>
        <v>8.4016108232613431E-3</v>
      </c>
      <c r="E15" s="6">
        <f t="shared" si="1"/>
        <v>0.19906388698858035</v>
      </c>
      <c r="F15" s="6">
        <f t="shared" si="2"/>
        <v>0.70811310896597579</v>
      </c>
      <c r="G15" s="6">
        <f t="shared" si="3"/>
        <v>8.4421393222182492E-2</v>
      </c>
      <c r="H15" s="6">
        <f t="shared" si="4"/>
        <v>8.4016108232613431E-3</v>
      </c>
      <c r="I15" s="12">
        <f t="shared" si="5"/>
        <v>0.22764058467584655</v>
      </c>
    </row>
    <row r="16" spans="1:9" ht="18.75">
      <c r="A16" s="6">
        <v>60</v>
      </c>
      <c r="B16" s="6">
        <f t="shared" si="0"/>
        <v>0.85310079121345717</v>
      </c>
      <c r="C16" s="6">
        <f t="shared" si="0"/>
        <v>0.13163109064118914</v>
      </c>
      <c r="D16" s="6">
        <f t="shared" si="0"/>
        <v>1.4403058633130779E-2</v>
      </c>
      <c r="E16" s="6">
        <f t="shared" si="1"/>
        <v>0.14689920878654283</v>
      </c>
      <c r="F16" s="6">
        <f t="shared" si="2"/>
        <v>0.721469700572268</v>
      </c>
      <c r="G16" s="6">
        <f t="shared" si="3"/>
        <v>0.11722803200805836</v>
      </c>
      <c r="H16" s="6">
        <f t="shared" si="4"/>
        <v>1.4403058633130779E-2</v>
      </c>
      <c r="I16" s="12">
        <f t="shared" si="5"/>
        <v>0.25338449978022698</v>
      </c>
    </row>
    <row r="17" spans="1:9" ht="18.75">
      <c r="A17" s="6">
        <v>70</v>
      </c>
      <c r="B17" s="6">
        <f t="shared" si="0"/>
        <v>0.88934050789104235</v>
      </c>
      <c r="C17" s="6">
        <f t="shared" si="0"/>
        <v>0.17219903801677516</v>
      </c>
      <c r="D17" s="6">
        <f t="shared" si="0"/>
        <v>2.2061170902217028E-2</v>
      </c>
      <c r="E17" s="6">
        <f t="shared" si="1"/>
        <v>0.11065949210895765</v>
      </c>
      <c r="F17" s="6">
        <f t="shared" si="2"/>
        <v>0.71714146987426719</v>
      </c>
      <c r="G17" s="6">
        <f t="shared" si="3"/>
        <v>0.15013786711455812</v>
      </c>
      <c r="H17" s="6">
        <f t="shared" si="4"/>
        <v>2.2061170902217028E-2</v>
      </c>
      <c r="I17" s="12">
        <f t="shared" si="5"/>
        <v>0.27641547192806293</v>
      </c>
    </row>
    <row r="18" spans="1:9" ht="18.75">
      <c r="A18" s="6">
        <v>80</v>
      </c>
      <c r="B18" s="6">
        <f t="shared" si="0"/>
        <v>0.91513371748447758</v>
      </c>
      <c r="C18" s="6">
        <f t="shared" si="0"/>
        <v>0.21316842287538726</v>
      </c>
      <c r="D18" s="6">
        <f t="shared" si="0"/>
        <v>3.1238771983616177E-2</v>
      </c>
      <c r="E18" s="6">
        <f t="shared" si="1"/>
        <v>8.4866282515522418E-2</v>
      </c>
      <c r="F18" s="6">
        <f t="shared" si="2"/>
        <v>0.7019652946090903</v>
      </c>
      <c r="G18" s="6">
        <f t="shared" si="3"/>
        <v>0.18192965089177107</v>
      </c>
      <c r="H18" s="6">
        <f t="shared" si="4"/>
        <v>3.1238771983616177E-2</v>
      </c>
      <c r="I18" s="12">
        <f t="shared" si="5"/>
        <v>0.29769492108177431</v>
      </c>
    </row>
    <row r="19" spans="1:9" ht="18.75">
      <c r="A19" s="6">
        <v>90</v>
      </c>
      <c r="B19" s="6">
        <f t="shared" si="0"/>
        <v>0.93388989525980093</v>
      </c>
      <c r="C19" s="6">
        <f t="shared" si="0"/>
        <v>0.25362198359591814</v>
      </c>
      <c r="D19" s="6">
        <f t="shared" si="0"/>
        <v>4.1765944842968292E-2</v>
      </c>
      <c r="E19" s="6">
        <f t="shared" si="1"/>
        <v>6.6110104740199072E-2</v>
      </c>
      <c r="F19" s="6">
        <f t="shared" si="2"/>
        <v>0.68026791166388278</v>
      </c>
      <c r="G19" s="6">
        <f t="shared" si="3"/>
        <v>0.21185603875294984</v>
      </c>
      <c r="H19" s="6">
        <f t="shared" si="4"/>
        <v>4.1765944842968292E-2</v>
      </c>
      <c r="I19" s="12">
        <f t="shared" si="5"/>
        <v>0.31776094213541389</v>
      </c>
    </row>
    <row r="20" spans="1:9" ht="18.75">
      <c r="A20" s="6">
        <v>100</v>
      </c>
      <c r="B20" s="6">
        <f t="shared" si="0"/>
        <v>0.94778933298111523</v>
      </c>
      <c r="C20" s="6">
        <f t="shared" si="0"/>
        <v>0.29296184142540693</v>
      </c>
      <c r="D20" s="6">
        <f t="shared" si="0"/>
        <v>5.3462657393593731E-2</v>
      </c>
      <c r="E20" s="6">
        <f t="shared" si="1"/>
        <v>5.2210667018884771E-2</v>
      </c>
      <c r="F20" s="6">
        <f t="shared" si="2"/>
        <v>0.6548274915557083</v>
      </c>
      <c r="G20" s="6">
        <f t="shared" si="3"/>
        <v>0.23949918403181319</v>
      </c>
      <c r="H20" s="6">
        <f t="shared" si="4"/>
        <v>5.3462657393593731E-2</v>
      </c>
      <c r="I20" s="12">
        <f t="shared" si="5"/>
        <v>0.33691912229842741</v>
      </c>
    </row>
    <row r="21" spans="1:9" ht="18.75">
      <c r="A21" s="6">
        <v>110</v>
      </c>
      <c r="B21" s="6">
        <f t="shared" si="0"/>
        <v>0.95826313122739204</v>
      </c>
      <c r="C21" s="6">
        <f t="shared" si="0"/>
        <v>0.33081547488334218</v>
      </c>
      <c r="D21" s="6">
        <f t="shared" si="0"/>
        <v>6.615198125887442E-2</v>
      </c>
      <c r="E21" s="6">
        <f t="shared" si="1"/>
        <v>4.173686877260796E-2</v>
      </c>
      <c r="F21" s="6">
        <f t="shared" si="2"/>
        <v>0.62744765634404986</v>
      </c>
      <c r="G21" s="6">
        <f t="shared" si="3"/>
        <v>0.26466349362446773</v>
      </c>
      <c r="H21" s="6">
        <f t="shared" si="4"/>
        <v>6.615198125887442E-2</v>
      </c>
      <c r="I21" s="12">
        <f t="shared" si="5"/>
        <v>0.35534564215712072</v>
      </c>
    </row>
    <row r="22" spans="1:9" ht="18.75">
      <c r="A22" s="6">
        <v>120</v>
      </c>
      <c r="B22" s="6">
        <f t="shared" si="0"/>
        <v>0.96627340231341907</v>
      </c>
      <c r="C22" s="6">
        <f t="shared" si="0"/>
        <v>0.36696707876405255</v>
      </c>
      <c r="D22" s="6">
        <f t="shared" si="0"/>
        <v>7.9667350159484687E-2</v>
      </c>
      <c r="E22" s="6">
        <f t="shared" si="1"/>
        <v>3.3726597686580928E-2</v>
      </c>
      <c r="F22" s="6">
        <f t="shared" si="2"/>
        <v>0.59930632354936653</v>
      </c>
      <c r="G22" s="6">
        <f t="shared" si="3"/>
        <v>0.28729972860456787</v>
      </c>
      <c r="H22" s="6">
        <f t="shared" si="4"/>
        <v>7.9667350159484687E-2</v>
      </c>
      <c r="I22" s="12">
        <f t="shared" si="5"/>
        <v>0.37314379534911024</v>
      </c>
    </row>
    <row r="23" spans="1:9" ht="18.75">
      <c r="A23" s="6">
        <v>130</v>
      </c>
      <c r="B23" s="6">
        <f t="shared" si="0"/>
        <v>0.97248112115203056</v>
      </c>
      <c r="C23" s="6">
        <f t="shared" si="0"/>
        <v>0.40130864168475455</v>
      </c>
      <c r="D23" s="6">
        <f t="shared" si="0"/>
        <v>9.3856139589466522E-2</v>
      </c>
      <c r="E23" s="6">
        <f t="shared" si="1"/>
        <v>2.7518878847969441E-2</v>
      </c>
      <c r="F23" s="6">
        <f t="shared" si="2"/>
        <v>0.57117247946727601</v>
      </c>
      <c r="G23" s="6">
        <f t="shared" si="3"/>
        <v>0.30745250209528802</v>
      </c>
      <c r="H23" s="6">
        <f t="shared" si="4"/>
        <v>9.3856139589466522E-2</v>
      </c>
      <c r="I23" s="12">
        <f t="shared" si="5"/>
        <v>0.39037551050392955</v>
      </c>
    </row>
    <row r="24" spans="1:9" ht="18.75">
      <c r="A24" s="6">
        <v>140</v>
      </c>
      <c r="B24" s="6">
        <f t="shared" si="0"/>
        <v>0.97734932028859955</v>
      </c>
      <c r="C24" s="6">
        <f t="shared" si="0"/>
        <v>0.43380544991337522</v>
      </c>
      <c r="D24" s="6">
        <f t="shared" si="0"/>
        <v>0.10858102639012059</v>
      </c>
      <c r="E24" s="6">
        <f t="shared" si="1"/>
        <v>2.2650679711400445E-2</v>
      </c>
      <c r="F24" s="6">
        <f t="shared" si="2"/>
        <v>0.54354387037522434</v>
      </c>
      <c r="G24" s="6">
        <f t="shared" si="3"/>
        <v>0.32522442352325465</v>
      </c>
      <c r="H24" s="6">
        <f t="shared" si="4"/>
        <v>0.10858102639012059</v>
      </c>
      <c r="I24" s="12">
        <f t="shared" si="5"/>
        <v>0.40707920574555401</v>
      </c>
    </row>
    <row r="25" spans="1:9" ht="18.75">
      <c r="A25" s="6">
        <v>150</v>
      </c>
      <c r="B25" s="6">
        <f t="shared" si="0"/>
        <v>0.98120811545729081</v>
      </c>
      <c r="C25" s="6">
        <f t="shared" si="0"/>
        <v>0.4644718828171972</v>
      </c>
      <c r="D25" s="6">
        <f t="shared" si="0"/>
        <v>0.12372004539341852</v>
      </c>
      <c r="E25" s="6">
        <f t="shared" si="1"/>
        <v>1.8791884542709192E-2</v>
      </c>
      <c r="F25" s="6">
        <f t="shared" si="2"/>
        <v>0.51673623264009361</v>
      </c>
      <c r="G25" s="6">
        <f t="shared" si="3"/>
        <v>0.34075183742377868</v>
      </c>
      <c r="H25" s="6">
        <f t="shared" si="4"/>
        <v>0.12372004539341852</v>
      </c>
      <c r="I25" s="12">
        <f t="shared" si="5"/>
        <v>0.42328002226533123</v>
      </c>
    </row>
    <row r="26" spans="1:9" ht="18.75">
      <c r="A26" s="6">
        <v>160</v>
      </c>
      <c r="B26" s="6">
        <f t="shared" si="0"/>
        <v>0.98429662380565808</v>
      </c>
      <c r="C26" s="6">
        <f t="shared" si="0"/>
        <v>0.49335447370498076</v>
      </c>
      <c r="D26" s="6">
        <f t="shared" si="0"/>
        <v>0.13916591398458597</v>
      </c>
      <c r="E26" s="6">
        <f t="shared" si="1"/>
        <v>1.5703376194341923E-2</v>
      </c>
      <c r="F26" s="6">
        <f t="shared" si="2"/>
        <v>0.49094215010067732</v>
      </c>
      <c r="G26" s="6">
        <f t="shared" si="3"/>
        <v>0.35418855972039476</v>
      </c>
      <c r="H26" s="6">
        <f t="shared" si="4"/>
        <v>0.13916591398458597</v>
      </c>
      <c r="I26" s="12">
        <f t="shared" si="5"/>
        <v>0.43899573136995274</v>
      </c>
    </row>
    <row r="27" spans="1:9" ht="18.75">
      <c r="A27" s="6">
        <v>170</v>
      </c>
      <c r="B27" s="6">
        <f t="shared" si="0"/>
        <v>0.98679055658846249</v>
      </c>
      <c r="C27" s="6">
        <f t="shared" si="0"/>
        <v>0.52052008144288386</v>
      </c>
      <c r="D27" s="6">
        <f t="shared" si="0"/>
        <v>0.15482497647026275</v>
      </c>
      <c r="E27" s="6">
        <f t="shared" si="1"/>
        <v>1.3209443411537514E-2</v>
      </c>
      <c r="F27" s="6">
        <f t="shared" si="2"/>
        <v>0.46627047514557862</v>
      </c>
      <c r="G27" s="6">
        <f t="shared" si="3"/>
        <v>0.36569510497262114</v>
      </c>
      <c r="H27" s="6">
        <f t="shared" si="4"/>
        <v>0.15482497647026275</v>
      </c>
      <c r="I27" s="12">
        <f t="shared" si="5"/>
        <v>0.45424014774296795</v>
      </c>
    </row>
    <row r="28" spans="1:9" ht="18.75">
      <c r="A28" s="6">
        <v>180</v>
      </c>
      <c r="B28" s="6">
        <f t="shared" si="0"/>
        <v>0.98882073231190915</v>
      </c>
      <c r="C28" s="6">
        <f t="shared" si="0"/>
        <v>0.54604765632091734</v>
      </c>
      <c r="D28" s="6">
        <f t="shared" si="0"/>
        <v>0.17061598237788381</v>
      </c>
      <c r="E28" s="6">
        <f t="shared" si="1"/>
        <v>1.1179267688090855E-2</v>
      </c>
      <c r="F28" s="6">
        <f t="shared" si="2"/>
        <v>0.4427730759909918</v>
      </c>
      <c r="G28" s="6">
        <f t="shared" si="3"/>
        <v>0.37543167394303356</v>
      </c>
      <c r="H28" s="6">
        <f t="shared" si="4"/>
        <v>0.17061598237788381</v>
      </c>
      <c r="I28" s="12">
        <f t="shared" si="5"/>
        <v>0.46902508834714851</v>
      </c>
    </row>
    <row r="29" spans="1:9" ht="18.75">
      <c r="A29" s="6">
        <v>190</v>
      </c>
      <c r="B29" s="6">
        <f t="shared" si="0"/>
        <v>0.99048571683372832</v>
      </c>
      <c r="C29" s="6">
        <f t="shared" si="0"/>
        <v>0.57002253670988479</v>
      </c>
      <c r="D29" s="6">
        <f t="shared" si="0"/>
        <v>0.18646882637643902</v>
      </c>
      <c r="E29" s="6">
        <f t="shared" si="1"/>
        <v>9.5142831662716754E-3</v>
      </c>
      <c r="F29" s="6">
        <f t="shared" si="2"/>
        <v>0.42046318012384354</v>
      </c>
      <c r="G29" s="6">
        <f t="shared" si="3"/>
        <v>0.38355371033344576</v>
      </c>
      <c r="H29" s="6">
        <f t="shared" si="4"/>
        <v>0.18646882637643902</v>
      </c>
      <c r="I29" s="12">
        <f t="shared" si="5"/>
        <v>0.48336147657412276</v>
      </c>
    </row>
    <row r="30" spans="1:9" ht="18.75">
      <c r="A30" s="6">
        <v>200</v>
      </c>
      <c r="B30" s="6">
        <f t="shared" ref="B30:D49" si="6">IF($A30&lt;=0,0,_xlfn.NORM.S.DIST((LN($A30)-C$5)/$B$6,TRUE()))</f>
        <v>0.99186059268451177</v>
      </c>
      <c r="C30" s="6">
        <f t="shared" si="6"/>
        <v>0.59253253055789357</v>
      </c>
      <c r="D30" s="6">
        <f t="shared" si="6"/>
        <v>0.20232332344371018</v>
      </c>
      <c r="E30" s="6">
        <f t="shared" si="1"/>
        <v>8.139407315488234E-3</v>
      </c>
      <c r="F30" s="6">
        <f t="shared" si="2"/>
        <v>0.3993280621266182</v>
      </c>
      <c r="G30" s="6">
        <f t="shared" si="3"/>
        <v>0.39020920711418339</v>
      </c>
      <c r="H30" s="6">
        <f t="shared" si="4"/>
        <v>0.20232332344371018</v>
      </c>
      <c r="I30" s="12">
        <f t="shared" si="5"/>
        <v>0.49725994253245642</v>
      </c>
    </row>
    <row r="31" spans="1:9" ht="18.75">
      <c r="A31" s="6">
        <v>210</v>
      </c>
      <c r="B31" s="6">
        <f t="shared" si="6"/>
        <v>0.9930031329141189</v>
      </c>
      <c r="C31" s="6">
        <f t="shared" si="6"/>
        <v>0.6136652572953718</v>
      </c>
      <c r="D31" s="6">
        <f t="shared" si="6"/>
        <v>0.21812805926657156</v>
      </c>
      <c r="E31" s="6">
        <f t="shared" si="1"/>
        <v>6.9968670858810977E-3</v>
      </c>
      <c r="F31" s="6">
        <f t="shared" si="2"/>
        <v>0.3793378756187471</v>
      </c>
      <c r="G31" s="6">
        <f t="shared" si="3"/>
        <v>0.39553719802880027</v>
      </c>
      <c r="H31" s="6">
        <f t="shared" si="4"/>
        <v>0.21812805926657156</v>
      </c>
      <c r="I31" s="12">
        <f t="shared" si="5"/>
        <v>0.5107311271856585</v>
      </c>
    </row>
    <row r="32" spans="1:9" ht="18.75">
      <c r="A32" s="6">
        <v>220</v>
      </c>
      <c r="B32" s="6">
        <f t="shared" si="6"/>
        <v>0.99395820675658164</v>
      </c>
      <c r="C32" s="6">
        <f t="shared" si="6"/>
        <v>0.63350638027349726</v>
      </c>
      <c r="D32" s="6">
        <f t="shared" si="6"/>
        <v>0.2338393351272389</v>
      </c>
      <c r="E32" s="6">
        <f t="shared" si="1"/>
        <v>6.0417932434183585E-3</v>
      </c>
      <c r="F32" s="6">
        <f t="shared" si="2"/>
        <v>0.36045182648308438</v>
      </c>
      <c r="G32" s="6">
        <f t="shared" si="3"/>
        <v>0.39966704514625839</v>
      </c>
      <c r="H32" s="6">
        <f t="shared" si="4"/>
        <v>0.2338393351272389</v>
      </c>
      <c r="I32" s="12">
        <f t="shared" si="5"/>
        <v>0.52378581432113913</v>
      </c>
    </row>
    <row r="33" spans="1:9" ht="18.75">
      <c r="A33" s="6">
        <v>230</v>
      </c>
      <c r="B33" s="6">
        <f t="shared" si="6"/>
        <v>0.99476096294587679</v>
      </c>
      <c r="C33" s="6">
        <f t="shared" si="6"/>
        <v>0.65213846796083219</v>
      </c>
      <c r="D33" s="6">
        <f t="shared" si="6"/>
        <v>0.24942021395197117</v>
      </c>
      <c r="E33" s="6">
        <f t="shared" si="1"/>
        <v>5.2390370541232079E-3</v>
      </c>
      <c r="F33" s="6">
        <f t="shared" si="2"/>
        <v>0.3426224949850446</v>
      </c>
      <c r="G33" s="6">
        <f t="shared" si="3"/>
        <v>0.40271825400886102</v>
      </c>
      <c r="H33" s="6">
        <f t="shared" si="4"/>
        <v>0.24942021395197117</v>
      </c>
      <c r="I33" s="12">
        <f t="shared" si="5"/>
        <v>0.53643496470266283</v>
      </c>
    </row>
    <row r="34" spans="1:9" ht="18.75">
      <c r="A34" s="6">
        <v>240</v>
      </c>
      <c r="B34" s="6">
        <f t="shared" si="6"/>
        <v>0.99543915650033321</v>
      </c>
      <c r="C34" s="6">
        <f t="shared" si="6"/>
        <v>0.6696402980118612</v>
      </c>
      <c r="D34" s="6">
        <f t="shared" si="6"/>
        <v>0.26483966677315673</v>
      </c>
      <c r="E34" s="6">
        <f t="shared" si="1"/>
        <v>4.560843499666789E-3</v>
      </c>
      <c r="F34" s="6">
        <f t="shared" si="2"/>
        <v>0.32579885848847201</v>
      </c>
      <c r="G34" s="6">
        <f t="shared" si="3"/>
        <v>0.40480063123870447</v>
      </c>
      <c r="H34" s="6">
        <f t="shared" si="4"/>
        <v>0.26483966677315673</v>
      </c>
      <c r="I34" s="12">
        <f t="shared" si="5"/>
        <v>0.548689697014627</v>
      </c>
    </row>
    <row r="35" spans="1:9" ht="18.75">
      <c r="A35" s="6">
        <v>250</v>
      </c>
      <c r="B35" s="6">
        <f t="shared" si="6"/>
        <v>0.99601486773476888</v>
      </c>
      <c r="C35" s="6">
        <f t="shared" si="6"/>
        <v>0.68608647182655436</v>
      </c>
      <c r="D35" s="6">
        <f t="shared" si="6"/>
        <v>0.28007181467058029</v>
      </c>
      <c r="E35" s="6">
        <f t="shared" si="1"/>
        <v>3.9851322652311172E-3</v>
      </c>
      <c r="F35" s="6">
        <f t="shared" si="2"/>
        <v>0.30992839590821453</v>
      </c>
      <c r="G35" s="6">
        <f t="shared" si="3"/>
        <v>0.40601465715597407</v>
      </c>
      <c r="H35" s="6">
        <f t="shared" si="4"/>
        <v>0.28007181467058029</v>
      </c>
      <c r="I35" s="12">
        <f t="shared" si="5"/>
        <v>0.56056124222562098</v>
      </c>
    </row>
    <row r="36" spans="1:9" ht="18.75">
      <c r="A36" s="6">
        <v>260</v>
      </c>
      <c r="B36" s="6">
        <f t="shared" si="6"/>
        <v>0.99650578495613362</v>
      </c>
      <c r="C36" s="6">
        <f t="shared" si="6"/>
        <v>0.7015472451128153</v>
      </c>
      <c r="D36" s="6">
        <f t="shared" si="6"/>
        <v>0.29509525909592638</v>
      </c>
      <c r="E36" s="6">
        <f t="shared" si="1"/>
        <v>3.4942150438663777E-3</v>
      </c>
      <c r="F36" s="6">
        <f t="shared" si="2"/>
        <v>0.29495853984331832</v>
      </c>
      <c r="G36" s="6">
        <f t="shared" si="3"/>
        <v>0.40645198601688892</v>
      </c>
      <c r="H36" s="6">
        <f t="shared" si="4"/>
        <v>0.29509525909592638</v>
      </c>
      <c r="I36" s="12">
        <f t="shared" si="5"/>
        <v>0.57206088706520042</v>
      </c>
    </row>
    <row r="37" spans="1:9" ht="18.75">
      <c r="A37" s="6">
        <v>270</v>
      </c>
      <c r="B37" s="6">
        <f t="shared" si="6"/>
        <v>0.99692617051057053</v>
      </c>
      <c r="C37" s="6">
        <f t="shared" si="6"/>
        <v>0.71608850691662118</v>
      </c>
      <c r="D37" s="6">
        <f t="shared" si="6"/>
        <v>0.30989249256967411</v>
      </c>
      <c r="E37" s="6">
        <f t="shared" si="1"/>
        <v>3.0738294894294693E-3</v>
      </c>
      <c r="F37" s="6">
        <f t="shared" si="2"/>
        <v>0.28083766359394935</v>
      </c>
      <c r="G37" s="6">
        <f t="shared" si="3"/>
        <v>0.40619601434694708</v>
      </c>
      <c r="H37" s="6">
        <f t="shared" si="4"/>
        <v>0.30989249256967411</v>
      </c>
      <c r="I37" s="12">
        <f t="shared" si="5"/>
        <v>0.58319991564163498</v>
      </c>
    </row>
    <row r="38" spans="1:9" ht="18.75">
      <c r="A38" s="6">
        <v>280</v>
      </c>
      <c r="B38" s="6">
        <f t="shared" si="6"/>
        <v>0.99728759468799288</v>
      </c>
      <c r="C38" s="6">
        <f t="shared" si="6"/>
        <v>0.72977185883436169</v>
      </c>
      <c r="D38" s="6">
        <f t="shared" si="6"/>
        <v>0.3244493815763102</v>
      </c>
      <c r="E38" s="6">
        <f t="shared" si="1"/>
        <v>2.7124053120071157E-3</v>
      </c>
      <c r="F38" s="6">
        <f t="shared" si="2"/>
        <v>0.2675157358536312</v>
      </c>
      <c r="G38" s="6">
        <f t="shared" si="3"/>
        <v>0.40532247725805148</v>
      </c>
      <c r="H38" s="6">
        <f t="shared" si="4"/>
        <v>0.3244493815763102</v>
      </c>
      <c r="I38" s="12">
        <f t="shared" si="5"/>
        <v>0.59398955416874377</v>
      </c>
    </row>
    <row r="39" spans="1:9" ht="18.75">
      <c r="A39" s="6">
        <v>290</v>
      </c>
      <c r="B39" s="6">
        <f t="shared" si="6"/>
        <v>0.99759949781650892</v>
      </c>
      <c r="C39" s="6">
        <f t="shared" si="6"/>
        <v>0.74265475992006535</v>
      </c>
      <c r="D39" s="6">
        <f t="shared" si="6"/>
        <v>0.33875471375730148</v>
      </c>
      <c r="E39" s="6">
        <f t="shared" si="1"/>
        <v>2.4005021834910822E-3</v>
      </c>
      <c r="F39" s="6">
        <f t="shared" si="2"/>
        <v>0.25494473789644356</v>
      </c>
      <c r="G39" s="6">
        <f t="shared" si="3"/>
        <v>0.40390004616276387</v>
      </c>
      <c r="H39" s="6">
        <f t="shared" si="4"/>
        <v>0.33875471375730148</v>
      </c>
      <c r="I39" s="12">
        <f t="shared" si="5"/>
        <v>0.60444092131279437</v>
      </c>
    </row>
    <row r="40" spans="1:9" ht="18.75">
      <c r="A40" s="6">
        <v>300</v>
      </c>
      <c r="B40" s="6">
        <f t="shared" si="6"/>
        <v>0.99786962406396551</v>
      </c>
      <c r="C40" s="6">
        <f t="shared" si="6"/>
        <v>0.75479071272146081</v>
      </c>
      <c r="D40" s="6">
        <f t="shared" si="6"/>
        <v>0.35279980201250782</v>
      </c>
      <c r="E40" s="6">
        <f t="shared" si="1"/>
        <v>2.1303759360344898E-3</v>
      </c>
      <c r="F40" s="6">
        <f t="shared" si="2"/>
        <v>0.2430789113425047</v>
      </c>
      <c r="G40" s="6">
        <f t="shared" si="3"/>
        <v>0.40199091070895299</v>
      </c>
      <c r="H40" s="6">
        <f t="shared" si="4"/>
        <v>0.35279980201250782</v>
      </c>
      <c r="I40" s="12">
        <f t="shared" si="5"/>
        <v>0.61456498520261049</v>
      </c>
    </row>
    <row r="41" spans="1:9" ht="18.75">
      <c r="A41" s="6">
        <v>310</v>
      </c>
      <c r="B41" s="6">
        <f t="shared" si="6"/>
        <v>0.99810435863849434</v>
      </c>
      <c r="C41" s="6">
        <f t="shared" si="6"/>
        <v>0.76622947303002531</v>
      </c>
      <c r="D41" s="6">
        <f t="shared" si="6"/>
        <v>0.36657813874533274</v>
      </c>
      <c r="E41" s="6">
        <f t="shared" si="1"/>
        <v>1.8956413615056622E-3</v>
      </c>
      <c r="F41" s="6">
        <f t="shared" si="2"/>
        <v>0.23187488560846903</v>
      </c>
      <c r="G41" s="6">
        <f t="shared" si="3"/>
        <v>0.39965133428469257</v>
      </c>
      <c r="H41" s="6">
        <f t="shared" si="4"/>
        <v>0.36657813874533274</v>
      </c>
      <c r="I41" s="12">
        <f t="shared" si="5"/>
        <v>0.62437252728979631</v>
      </c>
    </row>
    <row r="42" spans="1:9" ht="18.75">
      <c r="A42" s="6">
        <v>320</v>
      </c>
      <c r="B42" s="6">
        <f t="shared" si="6"/>
        <v>0.9983089916774861</v>
      </c>
      <c r="C42" s="6">
        <f t="shared" si="6"/>
        <v>0.77701727109348373</v>
      </c>
      <c r="D42" s="6">
        <f t="shared" si="6"/>
        <v>0.38008509414850322</v>
      </c>
      <c r="E42" s="6">
        <f t="shared" ref="E42:E70" si="7">1-B42</f>
        <v>1.6910083225138983E-3</v>
      </c>
      <c r="F42" s="6">
        <f t="shared" ref="F42:F70" si="8">B42-C42</f>
        <v>0.22129172058400237</v>
      </c>
      <c r="G42" s="6">
        <f t="shared" ref="G42:G70" si="9">C42-D42</f>
        <v>0.39693217694498051</v>
      </c>
      <c r="H42" s="6">
        <f t="shared" ref="H42:H70" si="10">D42</f>
        <v>0.38008509414850322</v>
      </c>
      <c r="I42" s="12">
        <f t="shared" ref="I42:I73" si="11">E42*$B$4+F42*$C$4+G42*$D$4+H42*$E$4</f>
        <v>0.63387411276699401</v>
      </c>
    </row>
    <row r="43" spans="1:9" ht="18.75">
      <c r="A43" s="6">
        <v>330</v>
      </c>
      <c r="B43" s="6">
        <f t="shared" si="6"/>
        <v>0.99848792608597448</v>
      </c>
      <c r="C43" s="6">
        <f t="shared" si="6"/>
        <v>0.78719703577035294</v>
      </c>
      <c r="D43" s="6">
        <f t="shared" si="6"/>
        <v>0.39331765308050348</v>
      </c>
      <c r="E43" s="6">
        <f t="shared" si="7"/>
        <v>1.5120739140255246E-3</v>
      </c>
      <c r="F43" s="6">
        <f t="shared" si="8"/>
        <v>0.21129089031562154</v>
      </c>
      <c r="G43" s="6">
        <f t="shared" si="9"/>
        <v>0.39387938268984946</v>
      </c>
      <c r="H43" s="6">
        <f t="shared" si="10"/>
        <v>0.39331765308050348</v>
      </c>
      <c r="I43" s="12">
        <f t="shared" si="11"/>
        <v>0.64308006700433362</v>
      </c>
    </row>
    <row r="44" spans="1:9" ht="18.75">
      <c r="A44" s="6">
        <v>340</v>
      </c>
      <c r="B44" s="6">
        <f t="shared" si="6"/>
        <v>0.99864484222053129</v>
      </c>
      <c r="C44" s="6">
        <f t="shared" si="6"/>
        <v>0.79680861580170292</v>
      </c>
      <c r="D44" s="6">
        <f t="shared" si="6"/>
        <v>0.4062741857015405</v>
      </c>
      <c r="E44" s="6">
        <f t="shared" si="7"/>
        <v>1.3551577794687075E-3</v>
      </c>
      <c r="F44" s="6">
        <f t="shared" si="8"/>
        <v>0.20183622641882837</v>
      </c>
      <c r="G44" s="6">
        <f t="shared" si="9"/>
        <v>0.39053443010016242</v>
      </c>
      <c r="H44" s="6">
        <f t="shared" si="10"/>
        <v>0.4062741857015405</v>
      </c>
      <c r="I44" s="12">
        <f t="shared" si="11"/>
        <v>0.65200045735632883</v>
      </c>
    </row>
    <row r="45" spans="1:9" ht="18.75">
      <c r="A45" s="6">
        <v>350</v>
      </c>
      <c r="B45" s="6">
        <f t="shared" si="6"/>
        <v>0.99878282912704508</v>
      </c>
      <c r="C45" s="6">
        <f t="shared" si="6"/>
        <v>0.80588899431994032</v>
      </c>
      <c r="D45" s="6">
        <f t="shared" si="6"/>
        <v>0.41895424760921413</v>
      </c>
      <c r="E45" s="6">
        <f t="shared" si="7"/>
        <v>1.2171708729549202E-3</v>
      </c>
      <c r="F45" s="6">
        <f t="shared" si="8"/>
        <v>0.19289383480710476</v>
      </c>
      <c r="G45" s="6">
        <f t="shared" si="9"/>
        <v>0.3869347467107262</v>
      </c>
      <c r="H45" s="6">
        <f t="shared" si="10"/>
        <v>0.41895424760921413</v>
      </c>
      <c r="I45" s="12">
        <f t="shared" si="11"/>
        <v>0.66064507966635344</v>
      </c>
    </row>
    <row r="46" spans="1:9" ht="18.75">
      <c r="A46" s="6">
        <v>360</v>
      </c>
      <c r="B46" s="6">
        <f t="shared" si="6"/>
        <v>0.99890448969364165</v>
      </c>
      <c r="C46" s="6">
        <f t="shared" si="6"/>
        <v>0.81447249411309253</v>
      </c>
      <c r="D46" s="6">
        <f t="shared" si="6"/>
        <v>0.43135840573225726</v>
      </c>
      <c r="E46" s="6">
        <f t="shared" si="7"/>
        <v>1.0955103063583493E-3</v>
      </c>
      <c r="F46" s="6">
        <f t="shared" si="8"/>
        <v>0.18443199558054912</v>
      </c>
      <c r="G46" s="6">
        <f t="shared" si="9"/>
        <v>0.38311408838083527</v>
      </c>
      <c r="H46" s="6">
        <f t="shared" si="10"/>
        <v>0.43135840573225726</v>
      </c>
      <c r="I46" s="12">
        <f t="shared" si="11"/>
        <v>0.66902344881781217</v>
      </c>
    </row>
    <row r="47" spans="1:9" ht="18.75">
      <c r="A47" s="6">
        <v>370</v>
      </c>
      <c r="B47" s="6">
        <f t="shared" si="6"/>
        <v>0.99901202533844946</v>
      </c>
      <c r="C47" s="6">
        <f t="shared" si="6"/>
        <v>0.82259097216411015</v>
      </c>
      <c r="D47" s="6">
        <f t="shared" si="6"/>
        <v>0.44348808670499196</v>
      </c>
      <c r="E47" s="6">
        <f t="shared" si="7"/>
        <v>9.8797466155053915E-4</v>
      </c>
      <c r="F47" s="6">
        <f t="shared" si="8"/>
        <v>0.17642105317433932</v>
      </c>
      <c r="G47" s="6">
        <f t="shared" si="9"/>
        <v>0.37910288545911819</v>
      </c>
      <c r="H47" s="6">
        <f t="shared" si="10"/>
        <v>0.44348808670499196</v>
      </c>
      <c r="I47" s="12">
        <f t="shared" si="11"/>
        <v>0.67714479272813588</v>
      </c>
    </row>
    <row r="48" spans="1:9" ht="18.75">
      <c r="A48" s="6">
        <v>380</v>
      </c>
      <c r="B48" s="6">
        <f t="shared" si="6"/>
        <v>0.99910730455018959</v>
      </c>
      <c r="C48" s="6">
        <f t="shared" si="6"/>
        <v>0.83027400269585727</v>
      </c>
      <c r="D48" s="6">
        <f t="shared" si="6"/>
        <v>0.45534544485754852</v>
      </c>
      <c r="E48" s="6">
        <f t="shared" si="7"/>
        <v>8.9269544981041005E-4</v>
      </c>
      <c r="F48" s="6">
        <f t="shared" si="8"/>
        <v>0.16883330185433232</v>
      </c>
      <c r="G48" s="6">
        <f t="shared" si="9"/>
        <v>0.37492855783830875</v>
      </c>
      <c r="H48" s="6">
        <f t="shared" si="10"/>
        <v>0.45534544485754852</v>
      </c>
      <c r="I48" s="12">
        <f t="shared" si="11"/>
        <v>0.68501804924028598</v>
      </c>
    </row>
    <row r="49" spans="1:9" ht="18.75">
      <c r="A49" s="6">
        <v>390</v>
      </c>
      <c r="B49" s="6">
        <f t="shared" si="6"/>
        <v>0.99919191861979628</v>
      </c>
      <c r="C49" s="6">
        <f t="shared" si="6"/>
        <v>0.83754904845210765</v>
      </c>
      <c r="D49" s="6">
        <f t="shared" si="6"/>
        <v>0.46693324732079672</v>
      </c>
      <c r="E49" s="6">
        <f t="shared" si="7"/>
        <v>8.0808138020371789E-4</v>
      </c>
      <c r="F49" s="6">
        <f t="shared" si="8"/>
        <v>0.16164287016768863</v>
      </c>
      <c r="G49" s="6">
        <f t="shared" si="9"/>
        <v>0.37061580113131093</v>
      </c>
      <c r="H49" s="6">
        <f t="shared" si="10"/>
        <v>0.46693324732079672</v>
      </c>
      <c r="I49" s="12">
        <f t="shared" si="11"/>
        <v>0.69265186542837431</v>
      </c>
    </row>
    <row r="50" spans="1:9" ht="18.75">
      <c r="A50" s="6">
        <v>400</v>
      </c>
      <c r="B50" s="6">
        <f t="shared" ref="B50:D69" si="12">IF($A50&lt;=0,0,_xlfn.NORM.S.DIST((LN($A50)-C$5)/$B$6,TRUE()))</f>
        <v>0.99926722715895278</v>
      </c>
      <c r="C50" s="6">
        <f t="shared" si="12"/>
        <v>0.844441620290449</v>
      </c>
      <c r="D50" s="6">
        <f t="shared" si="12"/>
        <v>0.47825477406466532</v>
      </c>
      <c r="E50" s="6">
        <f t="shared" si="7"/>
        <v>7.3277284104722451E-4</v>
      </c>
      <c r="F50" s="6">
        <f t="shared" si="8"/>
        <v>0.15482560686850377</v>
      </c>
      <c r="G50" s="6">
        <f t="shared" si="9"/>
        <v>0.36618684622578368</v>
      </c>
      <c r="H50" s="6">
        <f t="shared" si="10"/>
        <v>0.47825477406466532</v>
      </c>
      <c r="I50" s="12">
        <f t="shared" si="11"/>
        <v>0.70005459889468313</v>
      </c>
    </row>
    <row r="51" spans="1:9" ht="18.75">
      <c r="A51" s="6">
        <v>410</v>
      </c>
      <c r="B51" s="6">
        <f t="shared" si="12"/>
        <v>0.99933439543544078</v>
      </c>
      <c r="C51" s="6">
        <f t="shared" si="12"/>
        <v>0.85097542539640114</v>
      </c>
      <c r="D51" s="6">
        <f t="shared" si="12"/>
        <v>0.48931373096839281</v>
      </c>
      <c r="E51" s="6">
        <f t="shared" si="7"/>
        <v>6.6560456455921901E-4</v>
      </c>
      <c r="F51" s="6">
        <f t="shared" si="8"/>
        <v>0.14835897003903964</v>
      </c>
      <c r="G51" s="6">
        <f t="shared" si="9"/>
        <v>0.36166169442800833</v>
      </c>
      <c r="H51" s="6">
        <f t="shared" si="10"/>
        <v>0.48931373096839281</v>
      </c>
      <c r="I51" s="12">
        <f t="shared" si="11"/>
        <v>0.70723432069215686</v>
      </c>
    </row>
    <row r="52" spans="1:9" ht="18.75">
      <c r="A52" s="6">
        <v>420</v>
      </c>
      <c r="B52" s="6">
        <f t="shared" si="12"/>
        <v>0.99939442512107879</v>
      </c>
      <c r="C52" s="6">
        <f t="shared" si="12"/>
        <v>0.85717250458017091</v>
      </c>
      <c r="D52" s="6">
        <f t="shared" si="12"/>
        <v>0.50011417426569471</v>
      </c>
      <c r="E52" s="6">
        <f t="shared" si="7"/>
        <v>6.055748789212112E-4</v>
      </c>
      <c r="F52" s="6">
        <f t="shared" si="8"/>
        <v>0.14222192054090788</v>
      </c>
      <c r="G52" s="6">
        <f t="shared" si="9"/>
        <v>0.3570583303144762</v>
      </c>
      <c r="H52" s="6">
        <f t="shared" si="10"/>
        <v>0.50011417426569471</v>
      </c>
      <c r="I52" s="12">
        <f t="shared" si="11"/>
        <v>0.71419881955815978</v>
      </c>
    </row>
    <row r="53" spans="1:9" ht="18.75">
      <c r="A53" s="6">
        <v>430</v>
      </c>
      <c r="B53" s="6">
        <f t="shared" si="12"/>
        <v>0.99944817971312672</v>
      </c>
      <c r="C53" s="6">
        <f t="shared" si="12"/>
        <v>0.86305335921088355</v>
      </c>
      <c r="D53" s="6">
        <f t="shared" si="12"/>
        <v>0.51066044492094131</v>
      </c>
      <c r="E53" s="6">
        <f t="shared" si="7"/>
        <v>5.5182028687328355E-4</v>
      </c>
      <c r="F53" s="6">
        <f t="shared" si="8"/>
        <v>0.13639482050224316</v>
      </c>
      <c r="G53" s="6">
        <f t="shared" si="9"/>
        <v>0.35239291428994224</v>
      </c>
      <c r="H53" s="6">
        <f t="shared" si="10"/>
        <v>0.51066044492094131</v>
      </c>
      <c r="I53" s="12">
        <f t="shared" si="11"/>
        <v>0.72095560719147322</v>
      </c>
    </row>
    <row r="54" spans="1:9" ht="18.75">
      <c r="A54" s="6">
        <v>440</v>
      </c>
      <c r="B54" s="6">
        <f t="shared" si="12"/>
        <v>0.99949640563026321</v>
      </c>
      <c r="C54" s="6">
        <f t="shared" si="12"/>
        <v>0.86863706839450161</v>
      </c>
      <c r="D54" s="6">
        <f t="shared" si="12"/>
        <v>0.52095711167798475</v>
      </c>
      <c r="E54" s="6">
        <f t="shared" si="7"/>
        <v>5.0359436973679284E-4</v>
      </c>
      <c r="F54" s="6">
        <f t="shared" si="8"/>
        <v>0.1308593372357616</v>
      </c>
      <c r="G54" s="6">
        <f t="shared" si="9"/>
        <v>0.34767995671651686</v>
      </c>
      <c r="H54" s="6">
        <f t="shared" si="10"/>
        <v>0.52095711167798475</v>
      </c>
      <c r="I54" s="12">
        <f t="shared" si="11"/>
        <v>0.72751192434518352</v>
      </c>
    </row>
    <row r="55" spans="1:9" ht="18.75">
      <c r="A55" s="6">
        <v>450</v>
      </c>
      <c r="B55" s="6">
        <f t="shared" si="12"/>
        <v>0.9995397497816918</v>
      </c>
      <c r="C55" s="6">
        <f t="shared" si="12"/>
        <v>0.87394139702321172</v>
      </c>
      <c r="D55" s="6">
        <f t="shared" si="12"/>
        <v>0.53100892168475322</v>
      </c>
      <c r="E55" s="6">
        <f t="shared" si="7"/>
        <v>4.6025021830820023E-4</v>
      </c>
      <c r="F55" s="6">
        <f t="shared" si="8"/>
        <v>0.12559835275848008</v>
      </c>
      <c r="G55" s="6">
        <f t="shared" si="9"/>
        <v>0.3429324753384585</v>
      </c>
      <c r="H55" s="6">
        <f t="shared" si="10"/>
        <v>0.53100892168475322</v>
      </c>
      <c r="I55" s="12">
        <f t="shared" si="11"/>
        <v>0.73387474754360249</v>
      </c>
    </row>
    <row r="56" spans="1:9" ht="18.75">
      <c r="A56" s="6">
        <v>460</v>
      </c>
      <c r="B56" s="6">
        <f t="shared" si="12"/>
        <v>0.99957877424920527</v>
      </c>
      <c r="C56" s="6">
        <f t="shared" si="12"/>
        <v>0.87898289532479223</v>
      </c>
      <c r="D56" s="6">
        <f t="shared" si="12"/>
        <v>0.54082075773713689</v>
      </c>
      <c r="E56" s="6">
        <f t="shared" si="7"/>
        <v>4.2122575079472924E-4</v>
      </c>
      <c r="F56" s="6">
        <f t="shared" si="8"/>
        <v>0.12059587892441304</v>
      </c>
      <c r="G56" s="6">
        <f t="shared" si="9"/>
        <v>0.33816213758765534</v>
      </c>
      <c r="H56" s="6">
        <f t="shared" si="10"/>
        <v>0.54082075773713689</v>
      </c>
      <c r="I56" s="12">
        <f t="shared" si="11"/>
        <v>0.74005079626206782</v>
      </c>
    </row>
    <row r="57" spans="1:9" ht="18.75">
      <c r="A57" s="6">
        <v>470</v>
      </c>
      <c r="B57" s="6">
        <f t="shared" si="12"/>
        <v>0.99961396859704688</v>
      </c>
      <c r="C57" s="6">
        <f t="shared" si="12"/>
        <v>0.88377699052696446</v>
      </c>
      <c r="D57" s="6">
        <f t="shared" si="12"/>
        <v>0.55039760130781357</v>
      </c>
      <c r="E57" s="6">
        <f t="shared" si="7"/>
        <v>3.8603140295312421E-4</v>
      </c>
      <c r="F57" s="6">
        <f t="shared" si="8"/>
        <v>0.11583697807008242</v>
      </c>
      <c r="G57" s="6">
        <f t="shared" si="9"/>
        <v>0.33337938921915089</v>
      </c>
      <c r="H57" s="6">
        <f t="shared" si="10"/>
        <v>0.55039760130781357</v>
      </c>
      <c r="I57" s="12">
        <f t="shared" si="11"/>
        <v>0.74604654043490959</v>
      </c>
    </row>
    <row r="58" spans="1:9" ht="18.75">
      <c r="A58" s="6">
        <v>480</v>
      </c>
      <c r="B58" s="6">
        <f t="shared" si="12"/>
        <v>0.99964576022554141</v>
      </c>
      <c r="C58" s="6">
        <f t="shared" si="12"/>
        <v>0.88833807122878639</v>
      </c>
      <c r="D58" s="6">
        <f t="shared" si="12"/>
        <v>0.55974450063183245</v>
      </c>
      <c r="E58" s="6">
        <f t="shared" si="7"/>
        <v>3.5423977445858679E-4</v>
      </c>
      <c r="F58" s="6">
        <f t="shared" si="8"/>
        <v>0.11130768899675503</v>
      </c>
      <c r="G58" s="6">
        <f t="shared" si="9"/>
        <v>0.32859357059695393</v>
      </c>
      <c r="H58" s="6">
        <f t="shared" si="10"/>
        <v>0.55974450063183245</v>
      </c>
      <c r="I58" s="12">
        <f t="shared" si="11"/>
        <v>0.75186820817949818</v>
      </c>
    </row>
    <row r="59" spans="1:9" ht="18.75">
      <c r="A59" s="6">
        <v>490</v>
      </c>
      <c r="B59" s="6">
        <f t="shared" si="12"/>
        <v>0.99967452310590721</v>
      </c>
      <c r="C59" s="6">
        <f t="shared" si="12"/>
        <v>0.89267956504225099</v>
      </c>
      <c r="D59" s="6">
        <f t="shared" si="12"/>
        <v>0.56886654321313779</v>
      </c>
      <c r="E59" s="6">
        <f t="shared" si="7"/>
        <v>3.2547689409279101E-4</v>
      </c>
      <c r="F59" s="6">
        <f t="shared" si="8"/>
        <v>0.10699495806365622</v>
      </c>
      <c r="G59" s="6">
        <f t="shared" si="9"/>
        <v>0.3238130218291132</v>
      </c>
      <c r="H59" s="6">
        <f t="shared" si="10"/>
        <v>0.56886654321313779</v>
      </c>
      <c r="I59" s="12">
        <f t="shared" si="11"/>
        <v>0.7575217936436085</v>
      </c>
    </row>
    <row r="60" spans="1:9" ht="18.75">
      <c r="A60" s="6">
        <v>500</v>
      </c>
      <c r="B60" s="6">
        <f t="shared" si="12"/>
        <v>0.99970058517097715</v>
      </c>
      <c r="C60" s="6">
        <f t="shared" si="12"/>
        <v>0.89681401003495587</v>
      </c>
      <c r="D60" s="6">
        <f t="shared" si="12"/>
        <v>0.57776883219656705</v>
      </c>
      <c r="E60" s="6">
        <f t="shared" si="7"/>
        <v>2.9941482902284822E-4</v>
      </c>
      <c r="F60" s="6">
        <f t="shared" si="8"/>
        <v>0.10288657513602129</v>
      </c>
      <c r="G60" s="6">
        <f t="shared" si="9"/>
        <v>0.31904517783838882</v>
      </c>
      <c r="H60" s="6">
        <f t="shared" si="10"/>
        <v>0.57776883219656705</v>
      </c>
      <c r="I60" s="12">
        <f t="shared" si="11"/>
        <v>0.76301306489976684</v>
      </c>
    </row>
    <row r="61" spans="1:9" ht="18.75">
      <c r="A61" s="6">
        <v>510</v>
      </c>
      <c r="B61" s="6">
        <f t="shared" si="12"/>
        <v>0.99972423458633142</v>
      </c>
      <c r="C61" s="6">
        <f t="shared" si="12"/>
        <v>0.90075312047077283</v>
      </c>
      <c r="D61" s="6">
        <f t="shared" si="12"/>
        <v>0.58645646611978752</v>
      </c>
      <c r="E61" s="6">
        <f t="shared" si="7"/>
        <v>2.7576541366858276E-4</v>
      </c>
      <c r="F61" s="6">
        <f t="shared" si="8"/>
        <v>9.8971114115558589E-2</v>
      </c>
      <c r="G61" s="6">
        <f t="shared" si="9"/>
        <v>0.31429665435098531</v>
      </c>
      <c r="H61" s="6">
        <f t="shared" si="10"/>
        <v>0.58645646611978752</v>
      </c>
      <c r="I61" s="12">
        <f t="shared" si="11"/>
        <v>0.76834757182416979</v>
      </c>
    </row>
    <row r="62" spans="1:9" ht="18.75">
      <c r="A62" s="6">
        <v>520</v>
      </c>
      <c r="B62" s="6">
        <f t="shared" si="12"/>
        <v>0.99974572508595116</v>
      </c>
      <c r="C62" s="6">
        <f t="shared" si="12"/>
        <v>0.90450784731119227</v>
      </c>
      <c r="D62" s="6">
        <f t="shared" si="12"/>
        <v>0.5949345216205536</v>
      </c>
      <c r="E62" s="6">
        <f t="shared" si="7"/>
        <v>2.542749140488354E-4</v>
      </c>
      <c r="F62" s="6">
        <f t="shared" si="8"/>
        <v>9.5237877774758894E-2</v>
      </c>
      <c r="G62" s="6">
        <f t="shared" si="9"/>
        <v>0.30957332569063867</v>
      </c>
      <c r="H62" s="6">
        <f t="shared" si="10"/>
        <v>0.5949345216205536</v>
      </c>
      <c r="I62" s="12">
        <f t="shared" si="11"/>
        <v>0.77353065390956266</v>
      </c>
    </row>
    <row r="63" spans="1:9" ht="18.75">
      <c r="A63" s="6">
        <v>530</v>
      </c>
      <c r="B63" s="6">
        <f t="shared" si="12"/>
        <v>0.99976528052387981</v>
      </c>
      <c r="C63" s="6">
        <f t="shared" si="12"/>
        <v>0.90808843390627414</v>
      </c>
      <c r="D63" s="6">
        <f t="shared" si="12"/>
        <v>0.60320803872772266</v>
      </c>
      <c r="E63" s="6">
        <f t="shared" si="7"/>
        <v>2.3471947612019317E-4</v>
      </c>
      <c r="F63" s="6">
        <f t="shared" si="8"/>
        <v>9.1676846617605667E-2</v>
      </c>
      <c r="G63" s="6">
        <f t="shared" si="9"/>
        <v>0.30488039517855148</v>
      </c>
      <c r="H63" s="6">
        <f t="shared" si="10"/>
        <v>0.60320803872772266</v>
      </c>
      <c r="I63" s="12">
        <f t="shared" si="11"/>
        <v>0.77856744797139976</v>
      </c>
    </row>
    <row r="64" spans="1:9" ht="18.75">
      <c r="A64" s="6">
        <v>540</v>
      </c>
      <c r="B64" s="6">
        <f t="shared" si="12"/>
        <v>0.99978309876694982</v>
      </c>
      <c r="C64" s="6">
        <f t="shared" si="12"/>
        <v>0.91150446727153622</v>
      </c>
      <c r="D64" s="6">
        <f t="shared" si="12"/>
        <v>0.61128200841074376</v>
      </c>
      <c r="E64" s="6">
        <f t="shared" si="7"/>
        <v>2.1690123305018183E-4</v>
      </c>
      <c r="F64" s="6">
        <f t="shared" si="8"/>
        <v>8.8278631495413595E-2</v>
      </c>
      <c r="G64" s="6">
        <f t="shared" si="9"/>
        <v>0.30022245886079246</v>
      </c>
      <c r="H64" s="6">
        <f t="shared" si="10"/>
        <v>0.61128200841074376</v>
      </c>
      <c r="I64" s="12">
        <f t="shared" si="11"/>
        <v>0.78346289571499339</v>
      </c>
    </row>
    <row r="65" spans="1:9" ht="18.75">
      <c r="A65" s="6">
        <v>550</v>
      </c>
      <c r="B65" s="6">
        <f t="shared" si="12"/>
        <v>0.99979935503213879</v>
      </c>
      <c r="C65" s="6">
        <f t="shared" si="12"/>
        <v>0.91476492531601084</v>
      </c>
      <c r="D65" s="6">
        <f t="shared" si="12"/>
        <v>0.61916136210268924</v>
      </c>
      <c r="E65" s="6">
        <f t="shared" si="7"/>
        <v>2.0064496786120767E-4</v>
      </c>
      <c r="F65" s="6">
        <f t="shared" si="8"/>
        <v>8.5034429716127957E-2</v>
      </c>
      <c r="G65" s="6">
        <f t="shared" si="9"/>
        <v>0.2956035632133216</v>
      </c>
      <c r="H65" s="6">
        <f t="shared" si="10"/>
        <v>0.61916136210268924</v>
      </c>
      <c r="I65" s="12">
        <f t="shared" si="11"/>
        <v>0.788221751138382</v>
      </c>
    </row>
    <row r="66" spans="1:9" ht="18.75">
      <c r="A66" s="6">
        <v>560</v>
      </c>
      <c r="B66" s="6">
        <f t="shared" si="12"/>
        <v>0.99981420475457539</v>
      </c>
      <c r="C66" s="6">
        <f t="shared" si="12"/>
        <v>0.91787822035733246</v>
      </c>
      <c r="D66" s="6">
        <f t="shared" si="12"/>
        <v>0.62685096294714671</v>
      </c>
      <c r="E66" s="6">
        <f t="shared" si="7"/>
        <v>1.8579524542461368E-4</v>
      </c>
      <c r="F66" s="6">
        <f t="shared" si="8"/>
        <v>8.1935984397242922E-2</v>
      </c>
      <c r="G66" s="6">
        <f t="shared" si="9"/>
        <v>0.29102725741018576</v>
      </c>
      <c r="H66" s="6">
        <f t="shared" si="10"/>
        <v>0.62685096294714671</v>
      </c>
      <c r="I66" s="12">
        <f t="shared" si="11"/>
        <v>0.79284858775155032</v>
      </c>
    </row>
    <row r="67" spans="1:9" ht="18.75">
      <c r="A67" s="6">
        <v>570</v>
      </c>
      <c r="B67" s="6">
        <f t="shared" si="12"/>
        <v>0.99982778605786082</v>
      </c>
      <c r="C67" s="6">
        <f t="shared" si="12"/>
        <v>0.92085223923220361</v>
      </c>
      <c r="D67" s="6">
        <f t="shared" si="12"/>
        <v>0.63435559855005341</v>
      </c>
      <c r="E67" s="6">
        <f t="shared" si="7"/>
        <v>1.7221394213917662E-4</v>
      </c>
      <c r="F67" s="6">
        <f t="shared" si="8"/>
        <v>7.8975546825657217E-2</v>
      </c>
      <c r="G67" s="6">
        <f t="shared" si="9"/>
        <v>0.28649664068215019</v>
      </c>
      <c r="H67" s="6">
        <f t="shared" si="10"/>
        <v>0.63435559855005341</v>
      </c>
      <c r="I67" s="12">
        <f t="shared" si="11"/>
        <v>0.79734780559754281</v>
      </c>
    </row>
    <row r="68" spans="1:9" ht="18.75">
      <c r="A68" s="6">
        <v>580</v>
      </c>
      <c r="B68" s="6">
        <f t="shared" si="12"/>
        <v>0.9998402218865764</v>
      </c>
      <c r="C68" s="6">
        <f t="shared" si="12"/>
        <v>0.92369438028495976</v>
      </c>
      <c r="D68" s="6">
        <f t="shared" si="12"/>
        <v>0.64167997504448238</v>
      </c>
      <c r="E68" s="6">
        <f t="shared" si="7"/>
        <v>1.5977811342360315E-4</v>
      </c>
      <c r="F68" s="6">
        <f t="shared" si="8"/>
        <v>7.6145841601616637E-2</v>
      </c>
      <c r="G68" s="6">
        <f t="shared" si="9"/>
        <v>0.28201440524047738</v>
      </c>
      <c r="H68" s="6">
        <f t="shared" si="10"/>
        <v>0.64167997504448238</v>
      </c>
      <c r="I68" s="12">
        <f t="shared" si="11"/>
        <v>0.80172363806512525</v>
      </c>
    </row>
    <row r="69" spans="1:9" ht="18.75">
      <c r="A69" s="6">
        <v>590</v>
      </c>
      <c r="B69" s="6">
        <f t="shared" si="12"/>
        <v>0.99985162185113341</v>
      </c>
      <c r="C69" s="6">
        <f t="shared" si="12"/>
        <v>0.92641158749319785</v>
      </c>
      <c r="D69" s="6">
        <f t="shared" si="12"/>
        <v>0.64882871229991401</v>
      </c>
      <c r="E69" s="6">
        <f t="shared" si="7"/>
        <v>1.4837814886659029E-4</v>
      </c>
      <c r="F69" s="6">
        <f t="shared" si="8"/>
        <v>7.3440034357935557E-2</v>
      </c>
      <c r="G69" s="6">
        <f t="shared" si="9"/>
        <v>0.27758287519328384</v>
      </c>
      <c r="H69" s="6">
        <f t="shared" si="10"/>
        <v>0.64882871229991401</v>
      </c>
      <c r="I69" s="12">
        <f t="shared" si="11"/>
        <v>0.80598015848603977</v>
      </c>
    </row>
    <row r="70" spans="1:9" ht="18.75">
      <c r="A70" s="6">
        <v>600</v>
      </c>
      <c r="B70" s="6">
        <f t="shared" ref="B70:D89" si="13">IF($A70&lt;=0,0,_xlfn.NORM.S.DIST((LN($A70)-C$5)/$B$6,TRUE()))</f>
        <v>0.99986208382709751</v>
      </c>
      <c r="C70" s="6">
        <f t="shared" si="13"/>
        <v>0.92901038196749108</v>
      </c>
      <c r="D70" s="6">
        <f t="shared" si="13"/>
        <v>0.65580634012813122</v>
      </c>
      <c r="E70" s="6">
        <f t="shared" si="7"/>
        <v>1.3791617290248581E-4</v>
      </c>
      <c r="F70" s="6">
        <f t="shared" si="8"/>
        <v>7.0851701859606431E-2</v>
      </c>
      <c r="G70" s="6">
        <f t="shared" si="9"/>
        <v>0.27320404183935987</v>
      </c>
      <c r="H70" s="6">
        <f t="shared" si="10"/>
        <v>0.65580634012813122</v>
      </c>
      <c r="I70" s="12">
        <f t="shared" si="11"/>
        <v>0.81012128651271276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8.7109375" defaultRowHeight="15"/>
  <cols>
    <col min="1" max="1" width="12" customWidth="1"/>
    <col min="2" max="10" width="15" customWidth="1"/>
  </cols>
  <sheetData>
    <row r="1" spans="1:9">
      <c r="A1" s="1" t="s">
        <v>45</v>
      </c>
    </row>
    <row r="3" spans="1:9">
      <c r="A3" s="6" t="s">
        <v>21</v>
      </c>
      <c r="B3" s="5">
        <v>0</v>
      </c>
      <c r="C3" s="5">
        <v>1</v>
      </c>
      <c r="D3" s="5">
        <v>2</v>
      </c>
      <c r="E3" s="5">
        <v>3</v>
      </c>
    </row>
    <row r="4" spans="1:9" ht="18.75">
      <c r="A4" s="6" t="s">
        <v>35</v>
      </c>
      <c r="B4" s="8">
        <f>データ!$C$20</f>
        <v>0</v>
      </c>
      <c r="C4" s="8">
        <f>データ!$C$21</f>
        <v>0.25</v>
      </c>
      <c r="D4" s="8">
        <f>データ!$C$22</f>
        <v>0.5</v>
      </c>
      <c r="E4" s="8">
        <f>データ!$C$23</f>
        <v>1</v>
      </c>
    </row>
    <row r="5" spans="1:9" ht="18.75">
      <c r="A5" s="4" t="s">
        <v>36</v>
      </c>
      <c r="C5" s="10">
        <f>データ!$C$5</f>
        <v>3.49</v>
      </c>
      <c r="D5" s="10">
        <f>データ!$C$6</f>
        <v>5</v>
      </c>
      <c r="E5" s="10">
        <f>データ!$C$7</f>
        <v>6.32</v>
      </c>
    </row>
    <row r="6" spans="1:9" ht="18.75">
      <c r="A6" s="4" t="s">
        <v>14</v>
      </c>
      <c r="B6" s="10">
        <f>データ!$C$10</f>
        <v>1.03</v>
      </c>
    </row>
    <row r="7" spans="1:9" ht="18.75">
      <c r="A7" s="11"/>
    </row>
    <row r="9" spans="1:9" ht="37.5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35</v>
      </c>
    </row>
    <row r="10" spans="1:9" ht="18.75">
      <c r="A10" s="6">
        <v>0</v>
      </c>
      <c r="B10" s="6">
        <f t="shared" ref="B10:D29" si="0">IF($A10&lt;=0,0,_xlfn.NORM.S.DIST((LN($A10)-C$5)/$B$6,TRUE()))</f>
        <v>0</v>
      </c>
      <c r="C10" s="6">
        <f t="shared" si="0"/>
        <v>0</v>
      </c>
      <c r="D10" s="6">
        <f t="shared" si="0"/>
        <v>0</v>
      </c>
      <c r="E10" s="6">
        <f t="shared" ref="E10:E41" si="1">1-B10</f>
        <v>1</v>
      </c>
      <c r="F10" s="6">
        <f t="shared" ref="F10:F41" si="2">B10-C10</f>
        <v>0</v>
      </c>
      <c r="G10" s="6">
        <f t="shared" ref="G10:G41" si="3">C10-D10</f>
        <v>0</v>
      </c>
      <c r="H10" s="6">
        <f t="shared" ref="H10:H41" si="4">D10</f>
        <v>0</v>
      </c>
      <c r="I10" s="12">
        <f t="shared" ref="I10:I41" si="5">E10*$B$4+F10*$C$4+G10*$D$4+H10*$E$4</f>
        <v>0</v>
      </c>
    </row>
    <row r="11" spans="1:9" ht="18.75">
      <c r="A11" s="6">
        <v>10</v>
      </c>
      <c r="B11" s="6">
        <f t="shared" si="0"/>
        <v>0.12449008270924385</v>
      </c>
      <c r="C11" s="6">
        <f t="shared" si="0"/>
        <v>4.4113440922884878E-3</v>
      </c>
      <c r="D11" s="6">
        <f t="shared" si="0"/>
        <v>4.8016383984080774E-5</v>
      </c>
      <c r="E11" s="6">
        <f t="shared" si="1"/>
        <v>0.87550991729075611</v>
      </c>
      <c r="F11" s="6">
        <f t="shared" si="2"/>
        <v>0.12007873861695535</v>
      </c>
      <c r="G11" s="6">
        <f t="shared" si="3"/>
        <v>4.3633277083044066E-3</v>
      </c>
      <c r="H11" s="6">
        <f t="shared" si="4"/>
        <v>4.8016383984080774E-5</v>
      </c>
      <c r="I11" s="12">
        <f t="shared" si="5"/>
        <v>3.2249364892375121E-2</v>
      </c>
    </row>
    <row r="12" spans="1:9" ht="18.75">
      <c r="A12" s="6">
        <v>20</v>
      </c>
      <c r="B12" s="6">
        <f t="shared" si="0"/>
        <v>0.31565935573995318</v>
      </c>
      <c r="C12" s="6">
        <f t="shared" si="0"/>
        <v>2.583391734356533E-2</v>
      </c>
      <c r="D12" s="6">
        <f t="shared" si="0"/>
        <v>6.2450657098977601E-4</v>
      </c>
      <c r="E12" s="6">
        <f t="shared" si="1"/>
        <v>0.68434064426004682</v>
      </c>
      <c r="F12" s="6">
        <f t="shared" si="2"/>
        <v>0.28982543839638786</v>
      </c>
      <c r="G12" s="6">
        <f t="shared" si="3"/>
        <v>2.5209410772575554E-2</v>
      </c>
      <c r="H12" s="6">
        <f t="shared" si="4"/>
        <v>6.2450657098977601E-4</v>
      </c>
      <c r="I12" s="12">
        <f t="shared" si="5"/>
        <v>8.5685571556374518E-2</v>
      </c>
    </row>
    <row r="13" spans="1:9" ht="18.75">
      <c r="A13" s="6">
        <v>30</v>
      </c>
      <c r="B13" s="6">
        <f t="shared" si="0"/>
        <v>0.46564730257038101</v>
      </c>
      <c r="C13" s="6">
        <f t="shared" si="0"/>
        <v>6.0302936173083889E-2</v>
      </c>
      <c r="D13" s="6">
        <f t="shared" si="0"/>
        <v>2.2999850320529628E-3</v>
      </c>
      <c r="E13" s="6">
        <f t="shared" si="1"/>
        <v>0.53435269742961899</v>
      </c>
      <c r="F13" s="6">
        <f t="shared" si="2"/>
        <v>0.4053443663972971</v>
      </c>
      <c r="G13" s="6">
        <f t="shared" si="3"/>
        <v>5.8002951141030927E-2</v>
      </c>
      <c r="H13" s="6">
        <f t="shared" si="4"/>
        <v>2.2999850320529628E-3</v>
      </c>
      <c r="I13" s="12">
        <f t="shared" si="5"/>
        <v>0.13263755220189272</v>
      </c>
    </row>
    <row r="14" spans="1:9" ht="18.75">
      <c r="A14" s="6">
        <v>40</v>
      </c>
      <c r="B14" s="6">
        <f t="shared" si="0"/>
        <v>0.57655452394842199</v>
      </c>
      <c r="C14" s="6">
        <f t="shared" si="0"/>
        <v>0.10152098547010803</v>
      </c>
      <c r="D14" s="6">
        <f t="shared" si="0"/>
        <v>5.3172358166884105E-3</v>
      </c>
      <c r="E14" s="6">
        <f t="shared" si="1"/>
        <v>0.42344547605157801</v>
      </c>
      <c r="F14" s="6">
        <f t="shared" si="2"/>
        <v>0.47503353847831398</v>
      </c>
      <c r="G14" s="6">
        <f t="shared" si="3"/>
        <v>9.6203749653419615E-2</v>
      </c>
      <c r="H14" s="6">
        <f t="shared" si="4"/>
        <v>5.3172358166884105E-3</v>
      </c>
      <c r="I14" s="12">
        <f t="shared" si="5"/>
        <v>0.17217749526297671</v>
      </c>
    </row>
    <row r="15" spans="1:9" ht="18.75">
      <c r="A15" s="6">
        <v>50</v>
      </c>
      <c r="B15" s="6">
        <f t="shared" si="0"/>
        <v>0.65899838338345662</v>
      </c>
      <c r="C15" s="6">
        <f t="shared" si="0"/>
        <v>0.14541824973674886</v>
      </c>
      <c r="D15" s="6">
        <f t="shared" si="0"/>
        <v>9.6977296608489021E-3</v>
      </c>
      <c r="E15" s="6">
        <f t="shared" si="1"/>
        <v>0.34100161661654338</v>
      </c>
      <c r="F15" s="6">
        <f t="shared" si="2"/>
        <v>0.51358013364670774</v>
      </c>
      <c r="G15" s="6">
        <f t="shared" si="3"/>
        <v>0.13572052007589996</v>
      </c>
      <c r="H15" s="6">
        <f t="shared" si="4"/>
        <v>9.6977296608489021E-3</v>
      </c>
      <c r="I15" s="12">
        <f t="shared" si="5"/>
        <v>0.20595302311047581</v>
      </c>
    </row>
    <row r="16" spans="1:9" ht="18.75">
      <c r="A16" s="6">
        <v>60</v>
      </c>
      <c r="B16" s="6">
        <f t="shared" si="0"/>
        <v>0.72131160079951695</v>
      </c>
      <c r="C16" s="6">
        <f t="shared" si="0"/>
        <v>0.18962551809965261</v>
      </c>
      <c r="D16" s="6">
        <f t="shared" si="0"/>
        <v>1.5354216704977814E-2</v>
      </c>
      <c r="E16" s="6">
        <f t="shared" si="1"/>
        <v>0.27868839920048305</v>
      </c>
      <c r="F16" s="6">
        <f t="shared" si="2"/>
        <v>0.53168608269986439</v>
      </c>
      <c r="G16" s="6">
        <f t="shared" si="3"/>
        <v>0.17427130139467481</v>
      </c>
      <c r="H16" s="6">
        <f t="shared" si="4"/>
        <v>1.5354216704977814E-2</v>
      </c>
      <c r="I16" s="12">
        <f t="shared" si="5"/>
        <v>0.23541138807728132</v>
      </c>
    </row>
    <row r="17" spans="1:9" ht="18.75">
      <c r="A17" s="6">
        <v>70</v>
      </c>
      <c r="B17" s="6">
        <f t="shared" si="0"/>
        <v>0.76925730516700497</v>
      </c>
      <c r="C17" s="6">
        <f t="shared" si="0"/>
        <v>0.23281238717611816</v>
      </c>
      <c r="D17" s="6">
        <f t="shared" si="0"/>
        <v>2.2153769225889412E-2</v>
      </c>
      <c r="E17" s="6">
        <f t="shared" si="1"/>
        <v>0.23074269483299503</v>
      </c>
      <c r="F17" s="6">
        <f t="shared" si="2"/>
        <v>0.53644491799088678</v>
      </c>
      <c r="G17" s="6">
        <f t="shared" si="3"/>
        <v>0.21065861795022875</v>
      </c>
      <c r="H17" s="6">
        <f t="shared" si="4"/>
        <v>2.2153769225889412E-2</v>
      </c>
      <c r="I17" s="12">
        <f t="shared" si="5"/>
        <v>0.26159430769872549</v>
      </c>
    </row>
    <row r="18" spans="1:9" ht="18.75">
      <c r="A18" s="6">
        <v>80</v>
      </c>
      <c r="B18" s="6">
        <f t="shared" si="0"/>
        <v>0.8067673334103358</v>
      </c>
      <c r="C18" s="6">
        <f t="shared" si="0"/>
        <v>0.27426173464082937</v>
      </c>
      <c r="D18" s="6">
        <f t="shared" si="0"/>
        <v>2.9950096357752361E-2</v>
      </c>
      <c r="E18" s="6">
        <f t="shared" si="1"/>
        <v>0.1932326665896642</v>
      </c>
      <c r="F18" s="6">
        <f t="shared" si="2"/>
        <v>0.53250559876950643</v>
      </c>
      <c r="G18" s="6">
        <f t="shared" si="3"/>
        <v>0.244311638283077</v>
      </c>
      <c r="H18" s="6">
        <f t="shared" si="4"/>
        <v>2.9950096357752361E-2</v>
      </c>
      <c r="I18" s="12">
        <f t="shared" si="5"/>
        <v>0.28523231519166747</v>
      </c>
    </row>
    <row r="19" spans="1:9" ht="18.75">
      <c r="A19" s="6">
        <v>90</v>
      </c>
      <c r="B19" s="6">
        <f t="shared" si="0"/>
        <v>0.8365550870993026</v>
      </c>
      <c r="C19" s="6">
        <f t="shared" si="0"/>
        <v>0.31361771138413319</v>
      </c>
      <c r="D19" s="6">
        <f t="shared" si="0"/>
        <v>3.8599456093684745E-2</v>
      </c>
      <c r="E19" s="6">
        <f t="shared" si="1"/>
        <v>0.1634449129006974</v>
      </c>
      <c r="F19" s="6">
        <f t="shared" si="2"/>
        <v>0.52293737571516941</v>
      </c>
      <c r="G19" s="6">
        <f t="shared" si="3"/>
        <v>0.27501825529044843</v>
      </c>
      <c r="H19" s="6">
        <f t="shared" si="4"/>
        <v>3.8599456093684745E-2</v>
      </c>
      <c r="I19" s="12">
        <f t="shared" si="5"/>
        <v>0.30684292766770133</v>
      </c>
    </row>
    <row r="20" spans="1:9" ht="18.75">
      <c r="A20" s="6">
        <v>100</v>
      </c>
      <c r="B20" s="6">
        <f t="shared" si="0"/>
        <v>0.86052686713637283</v>
      </c>
      <c r="C20" s="6">
        <f t="shared" si="0"/>
        <v>0.35073758003654065</v>
      </c>
      <c r="D20" s="6">
        <f t="shared" si="0"/>
        <v>4.7968018846533365E-2</v>
      </c>
      <c r="E20" s="6">
        <f t="shared" si="1"/>
        <v>0.13947313286362717</v>
      </c>
      <c r="F20" s="6">
        <f t="shared" si="2"/>
        <v>0.50978928709983218</v>
      </c>
      <c r="G20" s="6">
        <f t="shared" si="3"/>
        <v>0.30276956119000731</v>
      </c>
      <c r="H20" s="6">
        <f t="shared" si="4"/>
        <v>4.7968018846533365E-2</v>
      </c>
      <c r="I20" s="12">
        <f t="shared" si="5"/>
        <v>0.32680012121649504</v>
      </c>
    </row>
    <row r="21" spans="1:9" ht="18.75">
      <c r="A21" s="6">
        <v>110</v>
      </c>
      <c r="B21" s="6">
        <f t="shared" si="0"/>
        <v>0.88004737580438541</v>
      </c>
      <c r="C21" s="6">
        <f t="shared" si="0"/>
        <v>0.3856037636352489</v>
      </c>
      <c r="D21" s="6">
        <f t="shared" si="0"/>
        <v>5.7934799023904873E-2</v>
      </c>
      <c r="E21" s="6">
        <f t="shared" si="1"/>
        <v>0.11995262419561459</v>
      </c>
      <c r="F21" s="6">
        <f t="shared" si="2"/>
        <v>0.49444361216913651</v>
      </c>
      <c r="G21" s="6">
        <f t="shared" si="3"/>
        <v>0.32766896461134404</v>
      </c>
      <c r="H21" s="6">
        <f t="shared" si="4"/>
        <v>5.7934799023904873E-2</v>
      </c>
      <c r="I21" s="12">
        <f t="shared" si="5"/>
        <v>0.34538018437186102</v>
      </c>
    </row>
    <row r="22" spans="1:9" ht="18.75">
      <c r="A22" s="6">
        <v>120</v>
      </c>
      <c r="B22" s="6">
        <f t="shared" si="0"/>
        <v>0.89611132742555666</v>
      </c>
      <c r="C22" s="6">
        <f t="shared" si="0"/>
        <v>0.41827098756927994</v>
      </c>
      <c r="D22" s="6">
        <f t="shared" si="0"/>
        <v>6.8392314122731085E-2</v>
      </c>
      <c r="E22" s="6">
        <f t="shared" si="1"/>
        <v>0.10388867257444334</v>
      </c>
      <c r="F22" s="6">
        <f t="shared" si="2"/>
        <v>0.47784033985627672</v>
      </c>
      <c r="G22" s="6">
        <f t="shared" si="3"/>
        <v>0.34987867344654888</v>
      </c>
      <c r="H22" s="6">
        <f t="shared" si="4"/>
        <v>6.8392314122731085E-2</v>
      </c>
      <c r="I22" s="12">
        <f t="shared" si="5"/>
        <v>0.36279173581007473</v>
      </c>
    </row>
    <row r="23" spans="1:9" ht="18.75">
      <c r="A23" s="6">
        <v>130</v>
      </c>
      <c r="B23" s="6">
        <f t="shared" si="0"/>
        <v>0.90945591954083571</v>
      </c>
      <c r="C23" s="6">
        <f t="shared" si="0"/>
        <v>0.44883418312619516</v>
      </c>
      <c r="D23" s="6">
        <f t="shared" si="0"/>
        <v>7.9246114543051679E-2</v>
      </c>
      <c r="E23" s="6">
        <f t="shared" si="1"/>
        <v>9.0544080459164289E-2</v>
      </c>
      <c r="F23" s="6">
        <f t="shared" si="2"/>
        <v>0.46062173641464055</v>
      </c>
      <c r="G23" s="6">
        <f t="shared" si="3"/>
        <v>0.36958806858314347</v>
      </c>
      <c r="H23" s="6">
        <f t="shared" si="4"/>
        <v>7.9246114543051679E-2</v>
      </c>
      <c r="I23" s="12">
        <f t="shared" si="5"/>
        <v>0.37919558293828354</v>
      </c>
    </row>
    <row r="24" spans="1:9" ht="18.75">
      <c r="A24" s="6">
        <v>140</v>
      </c>
      <c r="B24" s="6">
        <f t="shared" si="0"/>
        <v>0.92063586005617659</v>
      </c>
      <c r="C24" s="6">
        <f t="shared" si="0"/>
        <v>0.47740887857356917</v>
      </c>
      <c r="D24" s="6">
        <f t="shared" si="0"/>
        <v>9.0413793019388025E-2</v>
      </c>
      <c r="E24" s="6">
        <f t="shared" si="1"/>
        <v>7.9364139943823409E-2</v>
      </c>
      <c r="F24" s="6">
        <f t="shared" si="2"/>
        <v>0.44322698148260742</v>
      </c>
      <c r="G24" s="6">
        <f t="shared" si="3"/>
        <v>0.38699508555418116</v>
      </c>
      <c r="H24" s="6">
        <f t="shared" si="4"/>
        <v>9.0413793019388025E-2</v>
      </c>
      <c r="I24" s="12">
        <f t="shared" si="5"/>
        <v>0.39471808116713047</v>
      </c>
    </row>
    <row r="25" spans="1:9" ht="18.75">
      <c r="A25" s="6">
        <v>150</v>
      </c>
      <c r="B25" s="6">
        <f t="shared" si="0"/>
        <v>0.93007434295927449</v>
      </c>
      <c r="C25" s="6">
        <f t="shared" si="0"/>
        <v>0.50411921658969328</v>
      </c>
      <c r="D25" s="6">
        <f t="shared" si="0"/>
        <v>0.10182379722486765</v>
      </c>
      <c r="E25" s="6">
        <f t="shared" si="1"/>
        <v>6.9925657040725508E-2</v>
      </c>
      <c r="F25" s="6">
        <f t="shared" si="2"/>
        <v>0.42595512636958122</v>
      </c>
      <c r="G25" s="6">
        <f t="shared" si="3"/>
        <v>0.4022954193648256</v>
      </c>
      <c r="H25" s="6">
        <f t="shared" si="4"/>
        <v>0.10182379722486765</v>
      </c>
      <c r="I25" s="12">
        <f t="shared" si="5"/>
        <v>0.40946028849967575</v>
      </c>
    </row>
    <row r="26" spans="1:9" ht="18.75">
      <c r="A26" s="6">
        <v>160</v>
      </c>
      <c r="B26" s="6">
        <f t="shared" si="0"/>
        <v>0.93809830401971239</v>
      </c>
      <c r="C26" s="6">
        <f t="shared" si="0"/>
        <v>0.52909068919535873</v>
      </c>
      <c r="D26" s="6">
        <f t="shared" si="0"/>
        <v>0.11341421464871308</v>
      </c>
      <c r="E26" s="6">
        <f t="shared" si="1"/>
        <v>6.1901695980287608E-2</v>
      </c>
      <c r="F26" s="6">
        <f t="shared" si="2"/>
        <v>0.40900761482435366</v>
      </c>
      <c r="G26" s="6">
        <f t="shared" si="3"/>
        <v>0.41567647454664564</v>
      </c>
      <c r="H26" s="6">
        <f t="shared" si="4"/>
        <v>0.11341421464871308</v>
      </c>
      <c r="I26" s="12">
        <f t="shared" si="5"/>
        <v>0.42350435562812433</v>
      </c>
    </row>
    <row r="27" spans="1:9" ht="18.75">
      <c r="A27" s="6">
        <v>170</v>
      </c>
      <c r="B27" s="6">
        <f t="shared" si="0"/>
        <v>0.94496321601029754</v>
      </c>
      <c r="C27" s="6">
        <f t="shared" si="0"/>
        <v>0.55244581930428605</v>
      </c>
      <c r="D27" s="6">
        <f t="shared" si="0"/>
        <v>0.12513161452270813</v>
      </c>
      <c r="E27" s="6">
        <f t="shared" si="1"/>
        <v>5.5036783989702465E-2</v>
      </c>
      <c r="F27" s="6">
        <f t="shared" si="2"/>
        <v>0.39251739670601149</v>
      </c>
      <c r="G27" s="6">
        <f t="shared" si="3"/>
        <v>0.42731420478157789</v>
      </c>
      <c r="H27" s="6">
        <f t="shared" si="4"/>
        <v>0.12513161452270813</v>
      </c>
      <c r="I27" s="12">
        <f t="shared" si="5"/>
        <v>0.43691806608999995</v>
      </c>
    </row>
    <row r="28" spans="1:9" ht="18.75">
      <c r="A28" s="6">
        <v>180</v>
      </c>
      <c r="B28" s="6">
        <f t="shared" si="0"/>
        <v>0.95087080081554343</v>
      </c>
      <c r="C28" s="6">
        <f t="shared" si="0"/>
        <v>0.57430169404998399</v>
      </c>
      <c r="D28" s="6">
        <f t="shared" si="0"/>
        <v>0.13692998546478632</v>
      </c>
      <c r="E28" s="6">
        <f t="shared" si="1"/>
        <v>4.9129199184456573E-2</v>
      </c>
      <c r="F28" s="6">
        <f t="shared" si="2"/>
        <v>0.37656910676555944</v>
      </c>
      <c r="G28" s="6">
        <f t="shared" si="3"/>
        <v>0.43737170858519769</v>
      </c>
      <c r="H28" s="6">
        <f t="shared" si="4"/>
        <v>0.13692998546478632</v>
      </c>
      <c r="I28" s="12">
        <f t="shared" si="5"/>
        <v>0.44975811644877506</v>
      </c>
    </row>
    <row r="29" spans="1:9" ht="18.75">
      <c r="A29" s="6">
        <v>190</v>
      </c>
      <c r="B29" s="6">
        <f t="shared" si="0"/>
        <v>0.95598186538713437</v>
      </c>
      <c r="C29" s="6">
        <f t="shared" si="0"/>
        <v>0.59476866397832873</v>
      </c>
      <c r="D29" s="6">
        <f t="shared" si="0"/>
        <v>0.14876978251056241</v>
      </c>
      <c r="E29" s="6">
        <f t="shared" si="1"/>
        <v>4.4018134612865634E-2</v>
      </c>
      <c r="F29" s="6">
        <f t="shared" si="2"/>
        <v>0.36121320140880564</v>
      </c>
      <c r="G29" s="6">
        <f t="shared" si="3"/>
        <v>0.44599888146776634</v>
      </c>
      <c r="H29" s="6">
        <f t="shared" si="4"/>
        <v>0.14876978251056241</v>
      </c>
      <c r="I29" s="12">
        <f t="shared" si="5"/>
        <v>0.46207252359664697</v>
      </c>
    </row>
    <row r="30" spans="1:9" ht="18.75">
      <c r="A30" s="6">
        <v>200</v>
      </c>
      <c r="B30" s="6">
        <f t="shared" ref="B30:D49" si="6">IF($A30&lt;=0,0,_xlfn.NORM.S.DIST((LN($A30)-C$5)/$B$6,TRUE()))</f>
        <v>0.96042572847549756</v>
      </c>
      <c r="C30" s="6">
        <f t="shared" si="6"/>
        <v>0.61394977367316894</v>
      </c>
      <c r="D30" s="6">
        <f t="shared" si="6"/>
        <v>0.16061708397314642</v>
      </c>
      <c r="E30" s="6">
        <f t="shared" si="1"/>
        <v>3.9574271524502436E-2</v>
      </c>
      <c r="F30" s="6">
        <f t="shared" si="2"/>
        <v>0.34647595480232862</v>
      </c>
      <c r="G30" s="6">
        <f t="shared" si="3"/>
        <v>0.4533326897000225</v>
      </c>
      <c r="H30" s="6">
        <f t="shared" si="4"/>
        <v>0.16061708397314642</v>
      </c>
      <c r="I30" s="12">
        <f t="shared" si="5"/>
        <v>0.47390241752373985</v>
      </c>
    </row>
    <row r="31" spans="1:9" ht="18.75">
      <c r="A31" s="6">
        <v>210</v>
      </c>
      <c r="B31" s="6">
        <f t="shared" si="6"/>
        <v>0.96430722913893041</v>
      </c>
      <c r="C31" s="6">
        <f t="shared" si="6"/>
        <v>0.63194064633517633</v>
      </c>
      <c r="D31" s="6">
        <f t="shared" si="6"/>
        <v>0.17244285192323802</v>
      </c>
      <c r="E31" s="6">
        <f t="shared" si="1"/>
        <v>3.5692770861069589E-2</v>
      </c>
      <c r="F31" s="6">
        <f t="shared" si="2"/>
        <v>0.33236658280375408</v>
      </c>
      <c r="G31" s="6">
        <f t="shared" si="3"/>
        <v>0.45949779441193828</v>
      </c>
      <c r="H31" s="6">
        <f t="shared" si="4"/>
        <v>0.17244285192323802</v>
      </c>
      <c r="I31" s="12">
        <f t="shared" si="5"/>
        <v>0.48528339483014571</v>
      </c>
    </row>
    <row r="32" spans="1:9" ht="18.75">
      <c r="A32" s="6">
        <v>220</v>
      </c>
      <c r="B32" s="6">
        <f t="shared" si="6"/>
        <v>0.96771199683045628</v>
      </c>
      <c r="C32" s="6">
        <f t="shared" si="6"/>
        <v>0.64882964407166943</v>
      </c>
      <c r="D32" s="6">
        <f t="shared" si="6"/>
        <v>0.18422228710140207</v>
      </c>
      <c r="E32" s="6">
        <f t="shared" si="1"/>
        <v>3.2288003169543722E-2</v>
      </c>
      <c r="F32" s="6">
        <f t="shared" si="2"/>
        <v>0.31888235275878685</v>
      </c>
      <c r="G32" s="6">
        <f t="shared" si="3"/>
        <v>0.46460735697026734</v>
      </c>
      <c r="H32" s="6">
        <f t="shared" si="4"/>
        <v>0.18422228710140207</v>
      </c>
      <c r="I32" s="12">
        <f t="shared" si="5"/>
        <v>0.4962465537762325</v>
      </c>
    </row>
    <row r="33" spans="1:9" ht="18.75">
      <c r="A33" s="6">
        <v>230</v>
      </c>
      <c r="B33" s="6">
        <f t="shared" si="6"/>
        <v>0.97071045611494544</v>
      </c>
      <c r="C33" s="6">
        <f t="shared" si="6"/>
        <v>0.66469818910417966</v>
      </c>
      <c r="D33" s="6">
        <f t="shared" si="6"/>
        <v>0.19593426811016318</v>
      </c>
      <c r="E33" s="6">
        <f t="shared" si="1"/>
        <v>2.9289543885054559E-2</v>
      </c>
      <c r="F33" s="6">
        <f t="shared" si="2"/>
        <v>0.30601226701076578</v>
      </c>
      <c r="G33" s="6">
        <f t="shared" si="3"/>
        <v>0.46876392099401648</v>
      </c>
      <c r="H33" s="6">
        <f t="shared" si="4"/>
        <v>0.19593426811016318</v>
      </c>
      <c r="I33" s="12">
        <f t="shared" si="5"/>
        <v>0.50681929535986292</v>
      </c>
    </row>
    <row r="34" spans="1:9" ht="18.75">
      <c r="A34" s="6">
        <v>240</v>
      </c>
      <c r="B34" s="6">
        <f t="shared" si="6"/>
        <v>0.97336089963445083</v>
      </c>
      <c r="C34" s="6">
        <f t="shared" si="6"/>
        <v>0.67962117204608641</v>
      </c>
      <c r="D34" s="6">
        <f t="shared" si="6"/>
        <v>0.20756086484363412</v>
      </c>
      <c r="E34" s="6">
        <f t="shared" si="1"/>
        <v>2.6639100365549173E-2</v>
      </c>
      <c r="F34" s="6">
        <f t="shared" si="2"/>
        <v>0.29373972758836442</v>
      </c>
      <c r="G34" s="6">
        <f t="shared" si="3"/>
        <v>0.47206030720245229</v>
      </c>
      <c r="H34" s="6">
        <f t="shared" si="4"/>
        <v>0.20756086484363412</v>
      </c>
      <c r="I34" s="12">
        <f t="shared" si="5"/>
        <v>0.51702595034195142</v>
      </c>
    </row>
    <row r="35" spans="1:9" ht="18.75">
      <c r="A35" s="6">
        <v>250</v>
      </c>
      <c r="B35" s="6">
        <f t="shared" si="6"/>
        <v>0.97571186756173545</v>
      </c>
      <c r="C35" s="6">
        <f t="shared" si="6"/>
        <v>0.69366740002107685</v>
      </c>
      <c r="D35" s="6">
        <f t="shared" si="6"/>
        <v>0.21908691676080133</v>
      </c>
      <c r="E35" s="6">
        <f t="shared" si="1"/>
        <v>2.4288132438264554E-2</v>
      </c>
      <c r="F35" s="6">
        <f t="shared" si="2"/>
        <v>0.28204446754065859</v>
      </c>
      <c r="G35" s="6">
        <f t="shared" si="3"/>
        <v>0.47458048326027552</v>
      </c>
      <c r="H35" s="6">
        <f t="shared" si="4"/>
        <v>0.21908691676080133</v>
      </c>
      <c r="I35" s="12">
        <f t="shared" si="5"/>
        <v>0.52688827527610371</v>
      </c>
    </row>
    <row r="36" spans="1:9" ht="18.75">
      <c r="A36" s="6">
        <v>260</v>
      </c>
      <c r="B36" s="6">
        <f t="shared" si="6"/>
        <v>0.97780400566747672</v>
      </c>
      <c r="C36" s="6">
        <f t="shared" si="6"/>
        <v>0.70690005478937323</v>
      </c>
      <c r="D36" s="6">
        <f t="shared" si="6"/>
        <v>0.23049966749260173</v>
      </c>
      <c r="E36" s="6">
        <f t="shared" si="1"/>
        <v>2.2195994332523283E-2</v>
      </c>
      <c r="F36" s="6">
        <f t="shared" si="2"/>
        <v>0.27090395087810348</v>
      </c>
      <c r="G36" s="6">
        <f t="shared" si="3"/>
        <v>0.47640038729677148</v>
      </c>
      <c r="H36" s="6">
        <f t="shared" si="4"/>
        <v>0.23049966749260173</v>
      </c>
      <c r="I36" s="12">
        <f t="shared" si="5"/>
        <v>0.53642584886051337</v>
      </c>
    </row>
    <row r="37" spans="1:9" ht="18.75">
      <c r="A37" s="6">
        <v>270</v>
      </c>
      <c r="B37" s="6">
        <f t="shared" si="6"/>
        <v>0.97967152772246913</v>
      </c>
      <c r="C37" s="6">
        <f t="shared" si="6"/>
        <v>0.71937714245183404</v>
      </c>
      <c r="D37" s="6">
        <f t="shared" si="6"/>
        <v>0.24178844822469703</v>
      </c>
      <c r="E37" s="6">
        <f t="shared" si="1"/>
        <v>2.0328472277530873E-2</v>
      </c>
      <c r="F37" s="6">
        <f t="shared" si="2"/>
        <v>0.26029438527063509</v>
      </c>
      <c r="G37" s="6">
        <f t="shared" si="3"/>
        <v>0.47758869422713701</v>
      </c>
      <c r="H37" s="6">
        <f t="shared" si="4"/>
        <v>0.24178844822469703</v>
      </c>
      <c r="I37" s="12">
        <f t="shared" si="5"/>
        <v>0.54565639165592428</v>
      </c>
    </row>
    <row r="38" spans="1:9" ht="18.75">
      <c r="A38" s="6">
        <v>280</v>
      </c>
      <c r="B38" s="6">
        <f t="shared" si="6"/>
        <v>0.98134337500341817</v>
      </c>
      <c r="C38" s="6">
        <f t="shared" si="6"/>
        <v>0.73115192377918192</v>
      </c>
      <c r="D38" s="6">
        <f t="shared" si="6"/>
        <v>0.25294440322772149</v>
      </c>
      <c r="E38" s="6">
        <f t="shared" si="1"/>
        <v>1.8656624996581828E-2</v>
      </c>
      <c r="F38" s="6">
        <f t="shared" si="2"/>
        <v>0.25019145122423625</v>
      </c>
      <c r="G38" s="6">
        <f t="shared" si="3"/>
        <v>0.47820752055146043</v>
      </c>
      <c r="H38" s="6">
        <f t="shared" si="4"/>
        <v>0.25294440322772149</v>
      </c>
      <c r="I38" s="12">
        <f t="shared" si="5"/>
        <v>0.55459602630951077</v>
      </c>
    </row>
    <row r="39" spans="1:9" ht="18.75">
      <c r="A39" s="6">
        <v>290</v>
      </c>
      <c r="B39" s="6">
        <f t="shared" si="6"/>
        <v>0.98284414201246717</v>
      </c>
      <c r="C39" s="6">
        <f t="shared" si="6"/>
        <v>0.74227331910195538</v>
      </c>
      <c r="D39" s="6">
        <f t="shared" si="6"/>
        <v>0.26396025177008942</v>
      </c>
      <c r="E39" s="6">
        <f t="shared" si="1"/>
        <v>1.715585798753283E-2</v>
      </c>
      <c r="F39" s="6">
        <f t="shared" si="2"/>
        <v>0.24057082291051179</v>
      </c>
      <c r="G39" s="6">
        <f t="shared" si="3"/>
        <v>0.47831306733186596</v>
      </c>
      <c r="H39" s="6">
        <f t="shared" si="4"/>
        <v>0.26396025177008942</v>
      </c>
      <c r="I39" s="12">
        <f t="shared" si="5"/>
        <v>0.56325949116365037</v>
      </c>
    </row>
    <row r="40" spans="1:9" ht="18.75">
      <c r="A40" s="6">
        <v>300</v>
      </c>
      <c r="B40" s="6">
        <f t="shared" si="6"/>
        <v>0.98419482035924377</v>
      </c>
      <c r="C40" s="6">
        <f t="shared" si="6"/>
        <v>0.75278628486959742</v>
      </c>
      <c r="D40" s="6">
        <f t="shared" si="6"/>
        <v>0.27483008142626442</v>
      </c>
      <c r="E40" s="6">
        <f t="shared" si="1"/>
        <v>1.5805179640756228E-2</v>
      </c>
      <c r="F40" s="6">
        <f t="shared" si="2"/>
        <v>0.23140853548964635</v>
      </c>
      <c r="G40" s="6">
        <f t="shared" si="3"/>
        <v>0.47795620344333301</v>
      </c>
      <c r="H40" s="6">
        <f t="shared" si="4"/>
        <v>0.27483008142626442</v>
      </c>
      <c r="I40" s="12">
        <f t="shared" si="5"/>
        <v>0.57166031702034248</v>
      </c>
    </row>
    <row r="41" spans="1:9" ht="18.75">
      <c r="A41" s="6">
        <v>310</v>
      </c>
      <c r="B41" s="6">
        <f t="shared" si="6"/>
        <v>0.9854134001846877</v>
      </c>
      <c r="C41" s="6">
        <f t="shared" si="6"/>
        <v>0.76273216101947605</v>
      </c>
      <c r="D41" s="6">
        <f t="shared" si="6"/>
        <v>0.28554916848107958</v>
      </c>
      <c r="E41" s="6">
        <f t="shared" si="1"/>
        <v>1.4586599815312296E-2</v>
      </c>
      <c r="F41" s="6">
        <f t="shared" si="2"/>
        <v>0.22268123916521165</v>
      </c>
      <c r="G41" s="6">
        <f t="shared" si="3"/>
        <v>0.47718299253839647</v>
      </c>
      <c r="H41" s="6">
        <f t="shared" si="4"/>
        <v>0.28554916848107958</v>
      </c>
      <c r="I41" s="12">
        <f t="shared" si="5"/>
        <v>0.5798109745415807</v>
      </c>
    </row>
    <row r="42" spans="1:9" ht="18.75">
      <c r="A42" s="6">
        <v>320</v>
      </c>
      <c r="B42" s="6">
        <f t="shared" si="6"/>
        <v>0.98651535921534783</v>
      </c>
      <c r="C42" s="6">
        <f t="shared" si="6"/>
        <v>0.77214898956989675</v>
      </c>
      <c r="D42" s="6">
        <f t="shared" si="6"/>
        <v>0.29611382173124934</v>
      </c>
      <c r="E42" s="6">
        <f t="shared" ref="E42:E70" si="7">1-B42</f>
        <v>1.3484640784652169E-2</v>
      </c>
      <c r="F42" s="6">
        <f t="shared" ref="F42:F70" si="8">B42-C42</f>
        <v>0.21436636964545108</v>
      </c>
      <c r="G42" s="6">
        <f t="shared" ref="G42:G70" si="9">C42-D42</f>
        <v>0.47603516783864741</v>
      </c>
      <c r="H42" s="6">
        <f t="shared" ref="H42:H70" si="10">D42</f>
        <v>0.29611382173124934</v>
      </c>
      <c r="I42" s="12">
        <f t="shared" ref="I42:I73" si="11">E42*$B$4+F42*$C$4+G42*$D$4+H42*$E$4</f>
        <v>0.58772299806193584</v>
      </c>
    </row>
    <row r="43" spans="1:9" ht="18.75">
      <c r="A43" s="6">
        <v>330</v>
      </c>
      <c r="B43" s="6">
        <f t="shared" si="6"/>
        <v>0.98751406261065255</v>
      </c>
      <c r="C43" s="6">
        <f t="shared" si="6"/>
        <v>0.78107180561980649</v>
      </c>
      <c r="D43" s="6">
        <f t="shared" si="6"/>
        <v>0.30652124650543566</v>
      </c>
      <c r="E43" s="6">
        <f t="shared" si="7"/>
        <v>1.2485937389347446E-2</v>
      </c>
      <c r="F43" s="6">
        <f t="shared" si="8"/>
        <v>0.20644225699084606</v>
      </c>
      <c r="G43" s="6">
        <f t="shared" si="9"/>
        <v>0.47455055911437083</v>
      </c>
      <c r="H43" s="6">
        <f t="shared" si="10"/>
        <v>0.30652124650543566</v>
      </c>
      <c r="I43" s="12">
        <f t="shared" si="11"/>
        <v>0.59540709031033257</v>
      </c>
    </row>
    <row r="44" spans="1:9" ht="18.75">
      <c r="A44" s="6">
        <v>340</v>
      </c>
      <c r="B44" s="6">
        <f t="shared" si="6"/>
        <v>0.98842109156011815</v>
      </c>
      <c r="C44" s="6">
        <f t="shared" si="6"/>
        <v>0.7895329023723836</v>
      </c>
      <c r="D44" s="6">
        <f t="shared" si="6"/>
        <v>0.31676942617241288</v>
      </c>
      <c r="E44" s="6">
        <f t="shared" si="7"/>
        <v>1.1578908439881852E-2</v>
      </c>
      <c r="F44" s="6">
        <f t="shared" si="8"/>
        <v>0.19888818918773454</v>
      </c>
      <c r="G44" s="6">
        <f t="shared" si="9"/>
        <v>0.47276347619997072</v>
      </c>
      <c r="H44" s="6">
        <f t="shared" si="10"/>
        <v>0.31676942617241288</v>
      </c>
      <c r="I44" s="12">
        <f t="shared" si="11"/>
        <v>0.60287321156933182</v>
      </c>
    </row>
    <row r="45" spans="1:9" ht="18.75">
      <c r="A45" s="6">
        <v>350</v>
      </c>
      <c r="B45" s="6">
        <f t="shared" si="6"/>
        <v>0.98924651464504332</v>
      </c>
      <c r="C45" s="6">
        <f t="shared" si="6"/>
        <v>0.79756207201476093</v>
      </c>
      <c r="D45" s="6">
        <f t="shared" si="6"/>
        <v>0.32685701879165885</v>
      </c>
      <c r="E45" s="6">
        <f t="shared" si="7"/>
        <v>1.0753485354956682E-2</v>
      </c>
      <c r="F45" s="6">
        <f t="shared" si="8"/>
        <v>0.19168444263028239</v>
      </c>
      <c r="G45" s="6">
        <f t="shared" si="9"/>
        <v>0.47070505322310208</v>
      </c>
      <c r="H45" s="6">
        <f t="shared" si="10"/>
        <v>0.32685701879165885</v>
      </c>
      <c r="I45" s="12">
        <f t="shared" si="11"/>
        <v>0.61013065606078043</v>
      </c>
    </row>
    <row r="46" spans="1:9" ht="18.75">
      <c r="A46" s="6">
        <v>360</v>
      </c>
      <c r="B46" s="6">
        <f t="shared" si="6"/>
        <v>0.98999911297171184</v>
      </c>
      <c r="C46" s="6">
        <f t="shared" si="6"/>
        <v>0.8051868243589746</v>
      </c>
      <c r="D46" s="6">
        <f t="shared" si="6"/>
        <v>0.3367832668903214</v>
      </c>
      <c r="E46" s="6">
        <f t="shared" si="7"/>
        <v>1.0000887028288163E-2</v>
      </c>
      <c r="F46" s="6">
        <f t="shared" si="8"/>
        <v>0.18481228861273724</v>
      </c>
      <c r="G46" s="6">
        <f t="shared" si="9"/>
        <v>0.4684035574686532</v>
      </c>
      <c r="H46" s="6">
        <f t="shared" si="10"/>
        <v>0.3367832668903214</v>
      </c>
      <c r="I46" s="12">
        <f t="shared" si="11"/>
        <v>0.61718811777783222</v>
      </c>
    </row>
    <row r="47" spans="1:9" ht="18.75">
      <c r="A47" s="6">
        <v>370</v>
      </c>
      <c r="B47" s="6">
        <f t="shared" si="6"/>
        <v>0.99068656777298958</v>
      </c>
      <c r="C47" s="6">
        <f t="shared" si="6"/>
        <v>0.81243258513190375</v>
      </c>
      <c r="D47" s="6">
        <f t="shared" si="6"/>
        <v>0.34654791863251344</v>
      </c>
      <c r="E47" s="6">
        <f t="shared" si="7"/>
        <v>9.3134322270104208E-3</v>
      </c>
      <c r="F47" s="6">
        <f t="shared" si="8"/>
        <v>0.17825398264108583</v>
      </c>
      <c r="G47" s="6">
        <f t="shared" si="9"/>
        <v>0.46588466649939031</v>
      </c>
      <c r="H47" s="6">
        <f t="shared" si="10"/>
        <v>0.34654791863251344</v>
      </c>
      <c r="I47" s="12">
        <f t="shared" si="11"/>
        <v>0.62405374754248011</v>
      </c>
    </row>
    <row r="48" spans="1:9" ht="18.75">
      <c r="A48" s="6">
        <v>380</v>
      </c>
      <c r="B48" s="6">
        <f t="shared" si="6"/>
        <v>0.99131561738912566</v>
      </c>
      <c r="C48" s="6">
        <f t="shared" si="6"/>
        <v>0.81932287572947371</v>
      </c>
      <c r="D48" s="6">
        <f t="shared" si="6"/>
        <v>0.35615115888807825</v>
      </c>
      <c r="E48" s="6">
        <f t="shared" si="7"/>
        <v>8.6843826108743416E-3</v>
      </c>
      <c r="F48" s="6">
        <f t="shared" si="8"/>
        <v>0.17199274165965195</v>
      </c>
      <c r="G48" s="6">
        <f t="shared" si="9"/>
        <v>0.46317171684139546</v>
      </c>
      <c r="H48" s="6">
        <f t="shared" si="10"/>
        <v>0.35615115888807825</v>
      </c>
      <c r="I48" s="12">
        <f t="shared" si="11"/>
        <v>0.63073520272368899</v>
      </c>
    </row>
    <row r="49" spans="1:9" ht="18.75">
      <c r="A49" s="6">
        <v>390</v>
      </c>
      <c r="B49" s="6">
        <f t="shared" si="6"/>
        <v>0.99189218914909594</v>
      </c>
      <c r="C49" s="6">
        <f t="shared" si="6"/>
        <v>0.82587947614608437</v>
      </c>
      <c r="D49" s="6">
        <f t="shared" si="6"/>
        <v>0.36559354891417351</v>
      </c>
      <c r="E49" s="6">
        <f t="shared" si="7"/>
        <v>8.1078108509040625E-3</v>
      </c>
      <c r="F49" s="6">
        <f t="shared" si="8"/>
        <v>0.16601271300301157</v>
      </c>
      <c r="G49" s="6">
        <f t="shared" si="9"/>
        <v>0.46028592723191086</v>
      </c>
      <c r="H49" s="6">
        <f t="shared" si="10"/>
        <v>0.36559354891417351</v>
      </c>
      <c r="I49" s="12">
        <f t="shared" si="11"/>
        <v>0.63723969078088183</v>
      </c>
    </row>
    <row r="50" spans="1:9" ht="18.75">
      <c r="A50" s="6">
        <v>400</v>
      </c>
      <c r="B50" s="6">
        <f t="shared" ref="B50:D69" si="12">IF($A50&lt;=0,0,_xlfn.NORM.S.DIST((LN($A50)-C$5)/$B$6,TRUE()))</f>
        <v>0.99242151058649741</v>
      </c>
      <c r="C50" s="6">
        <f t="shared" si="12"/>
        <v>0.83212257266968093</v>
      </c>
      <c r="D50" s="6">
        <f t="shared" si="12"/>
        <v>0.37487597353946472</v>
      </c>
      <c r="E50" s="6">
        <f t="shared" si="7"/>
        <v>7.5784894135025871E-3</v>
      </c>
      <c r="F50" s="6">
        <f t="shared" si="8"/>
        <v>0.16029893791681649</v>
      </c>
      <c r="G50" s="6">
        <f t="shared" si="9"/>
        <v>0.4572465991302162</v>
      </c>
      <c r="H50" s="6">
        <f t="shared" si="10"/>
        <v>0.37487597353946472</v>
      </c>
      <c r="I50" s="12">
        <f t="shared" si="11"/>
        <v>0.64357400758377703</v>
      </c>
    </row>
    <row r="51" spans="1:9" ht="18.75">
      <c r="A51" s="6">
        <v>410</v>
      </c>
      <c r="B51" s="6">
        <f t="shared" si="12"/>
        <v>0.99290820356832676</v>
      </c>
      <c r="C51" s="6">
        <f t="shared" si="12"/>
        <v>0.83807089180620276</v>
      </c>
      <c r="D51" s="6">
        <f t="shared" si="12"/>
        <v>0.38399959489172925</v>
      </c>
      <c r="E51" s="6">
        <f t="shared" si="7"/>
        <v>7.0917964316732363E-3</v>
      </c>
      <c r="F51" s="6">
        <f t="shared" si="8"/>
        <v>0.15483731176212401</v>
      </c>
      <c r="G51" s="6">
        <f t="shared" si="9"/>
        <v>0.45407129691447351</v>
      </c>
      <c r="H51" s="6">
        <f t="shared" si="10"/>
        <v>0.38399959489172925</v>
      </c>
      <c r="I51" s="12">
        <f t="shared" si="11"/>
        <v>0.64974457128949692</v>
      </c>
    </row>
    <row r="52" spans="1:9" ht="18.75">
      <c r="A52" s="6">
        <v>420</v>
      </c>
      <c r="B52" s="6">
        <f t="shared" si="12"/>
        <v>0.9933563642379879</v>
      </c>
      <c r="C52" s="6">
        <f t="shared" si="12"/>
        <v>0.84374182177087376</v>
      </c>
      <c r="D52" s="6">
        <f t="shared" si="12"/>
        <v>0.39296581183907259</v>
      </c>
      <c r="E52" s="6">
        <f t="shared" si="7"/>
        <v>6.6436357620121012E-3</v>
      </c>
      <c r="F52" s="6">
        <f t="shared" si="8"/>
        <v>0.14961454246711414</v>
      </c>
      <c r="G52" s="6">
        <f t="shared" si="9"/>
        <v>0.45077600993180117</v>
      </c>
      <c r="H52" s="6">
        <f t="shared" si="10"/>
        <v>0.39296581183907259</v>
      </c>
      <c r="I52" s="12">
        <f t="shared" si="11"/>
        <v>0.65575745242175176</v>
      </c>
    </row>
    <row r="53" spans="1:9" ht="18.75">
      <c r="A53" s="6">
        <v>430</v>
      </c>
      <c r="B53" s="6">
        <f t="shared" si="12"/>
        <v>0.99376963113551531</v>
      </c>
      <c r="C53" s="6">
        <f t="shared" si="12"/>
        <v>0.84915152276196415</v>
      </c>
      <c r="D53" s="6">
        <f t="shared" si="12"/>
        <v>0.40177622442595085</v>
      </c>
      <c r="E53" s="6">
        <f t="shared" si="7"/>
        <v>6.2303688644846922E-3</v>
      </c>
      <c r="F53" s="6">
        <f t="shared" si="8"/>
        <v>0.14461810837355116</v>
      </c>
      <c r="G53" s="6">
        <f t="shared" si="9"/>
        <v>0.44737529833601331</v>
      </c>
      <c r="H53" s="6">
        <f t="shared" si="10"/>
        <v>0.40177622442595085</v>
      </c>
      <c r="I53" s="12">
        <f t="shared" si="11"/>
        <v>0.66161840068734534</v>
      </c>
    </row>
    <row r="54" spans="1:9" ht="18.75">
      <c r="A54" s="6">
        <v>440</v>
      </c>
      <c r="B54" s="6">
        <f t="shared" si="12"/>
        <v>0.99415124342778349</v>
      </c>
      <c r="C54" s="6">
        <f t="shared" si="12"/>
        <v>0.85431502711758645</v>
      </c>
      <c r="D54" s="6">
        <f t="shared" si="12"/>
        <v>0.41043260268047621</v>
      </c>
      <c r="E54" s="6">
        <f t="shared" si="7"/>
        <v>5.8487565722165069E-3</v>
      </c>
      <c r="F54" s="6">
        <f t="shared" si="8"/>
        <v>0.13983621631019705</v>
      </c>
      <c r="G54" s="6">
        <f t="shared" si="9"/>
        <v>0.44388242443711023</v>
      </c>
      <c r="H54" s="6">
        <f t="shared" si="10"/>
        <v>0.41043260268047621</v>
      </c>
      <c r="I54" s="12">
        <f t="shared" si="11"/>
        <v>0.66733286897658062</v>
      </c>
    </row>
    <row r="55" spans="1:9" ht="18.75">
      <c r="A55" s="6">
        <v>450</v>
      </c>
      <c r="B55" s="6">
        <f t="shared" si="12"/>
        <v>0.99450409083607783</v>
      </c>
      <c r="C55" s="6">
        <f t="shared" si="12"/>
        <v>0.85924633034908993</v>
      </c>
      <c r="D55" s="6">
        <f t="shared" si="12"/>
        <v>0.41893685925143809</v>
      </c>
      <c r="E55" s="6">
        <f t="shared" si="7"/>
        <v>5.4959091639221747E-3</v>
      </c>
      <c r="F55" s="6">
        <f t="shared" si="8"/>
        <v>0.1352577604869879</v>
      </c>
      <c r="G55" s="6">
        <f t="shared" si="9"/>
        <v>0.44030947109765184</v>
      </c>
      <c r="H55" s="6">
        <f t="shared" si="10"/>
        <v>0.41893685925143809</v>
      </c>
      <c r="I55" s="12">
        <f t="shared" si="11"/>
        <v>0.67290603492201095</v>
      </c>
    </row>
    <row r="56" spans="1:9" ht="18.75">
      <c r="A56" s="6">
        <v>460</v>
      </c>
      <c r="B56" s="6">
        <f t="shared" si="12"/>
        <v>0.99483075656984743</v>
      </c>
      <c r="C56" s="6">
        <f t="shared" si="12"/>
        <v>0.86395847394614589</v>
      </c>
      <c r="D56" s="6">
        <f t="shared" si="12"/>
        <v>0.42729102540399949</v>
      </c>
      <c r="E56" s="6">
        <f t="shared" si="7"/>
        <v>5.1692434301525703E-3</v>
      </c>
      <c r="F56" s="6">
        <f t="shared" si="8"/>
        <v>0.13087228262370154</v>
      </c>
      <c r="G56" s="6">
        <f t="shared" si="9"/>
        <v>0.4366674485421464</v>
      </c>
      <c r="H56" s="6">
        <f t="shared" si="10"/>
        <v>0.42729102540399949</v>
      </c>
      <c r="I56" s="12">
        <f t="shared" si="11"/>
        <v>0.67834282033099802</v>
      </c>
    </row>
    <row r="57" spans="1:9" ht="18.75">
      <c r="A57" s="6">
        <v>470</v>
      </c>
      <c r="B57" s="6">
        <f t="shared" si="12"/>
        <v>0.99513355434986217</v>
      </c>
      <c r="C57" s="6">
        <f t="shared" si="12"/>
        <v>0.86846362075872785</v>
      </c>
      <c r="D57" s="6">
        <f t="shared" si="12"/>
        <v>0.43549722996384749</v>
      </c>
      <c r="E57" s="6">
        <f t="shared" si="7"/>
        <v>4.8664456501378295E-3</v>
      </c>
      <c r="F57" s="6">
        <f t="shared" si="8"/>
        <v>0.12666993359113432</v>
      </c>
      <c r="G57" s="6">
        <f t="shared" si="9"/>
        <v>0.43296639079488036</v>
      </c>
      <c r="H57" s="6">
        <f t="shared" si="10"/>
        <v>0.43549722996384749</v>
      </c>
      <c r="I57" s="12">
        <f t="shared" si="11"/>
        <v>0.68364790875907122</v>
      </c>
    </row>
    <row r="58" spans="1:9" ht="18.75">
      <c r="A58" s="6">
        <v>480</v>
      </c>
      <c r="B58" s="6">
        <f t="shared" si="12"/>
        <v>0.99541456042052034</v>
      </c>
      <c r="C58" s="6">
        <f t="shared" si="12"/>
        <v>0.87277312367961568</v>
      </c>
      <c r="D58" s="6">
        <f t="shared" si="12"/>
        <v>0.44355768085206532</v>
      </c>
      <c r="E58" s="6">
        <f t="shared" si="7"/>
        <v>4.5854395794796554E-3</v>
      </c>
      <c r="F58" s="6">
        <f t="shared" si="8"/>
        <v>0.12264143674090466</v>
      </c>
      <c r="G58" s="6">
        <f t="shared" si="9"/>
        <v>0.42921544282755036</v>
      </c>
      <c r="H58" s="6">
        <f t="shared" si="10"/>
        <v>0.44355768085206532</v>
      </c>
      <c r="I58" s="12">
        <f t="shared" si="11"/>
        <v>0.68882576145106666</v>
      </c>
    </row>
    <row r="59" spans="1:9" ht="18.75">
      <c r="A59" s="6">
        <v>490</v>
      </c>
      <c r="B59" s="6">
        <f t="shared" si="12"/>
        <v>0.99567564130125663</v>
      </c>
      <c r="C59" s="6">
        <f t="shared" si="12"/>
        <v>0.8768975882773391</v>
      </c>
      <c r="D59" s="6">
        <f t="shared" si="12"/>
        <v>0.45147464889837807</v>
      </c>
      <c r="E59" s="6">
        <f t="shared" si="7"/>
        <v>4.3243586987433691E-3</v>
      </c>
      <c r="F59" s="6">
        <f t="shared" si="8"/>
        <v>0.11877805302391753</v>
      </c>
      <c r="G59" s="6">
        <f t="shared" si="9"/>
        <v>0.42542293937896103</v>
      </c>
      <c r="H59" s="6">
        <f t="shared" si="10"/>
        <v>0.45147464889837807</v>
      </c>
      <c r="I59" s="12">
        <f t="shared" si="11"/>
        <v>0.69388063184383797</v>
      </c>
    </row>
    <row r="60" spans="1:9" ht="18.75">
      <c r="A60" s="6">
        <v>500</v>
      </c>
      <c r="B60" s="6">
        <f t="shared" si="12"/>
        <v>0.99591847790422605</v>
      </c>
      <c r="C60" s="6">
        <f t="shared" si="12"/>
        <v>0.88084692996309144</v>
      </c>
      <c r="D60" s="6">
        <f t="shared" si="12"/>
        <v>0.45925045365970835</v>
      </c>
      <c r="E60" s="6">
        <f t="shared" si="7"/>
        <v>4.0815220957739484E-3</v>
      </c>
      <c r="F60" s="6">
        <f t="shared" si="8"/>
        <v>0.11507154794113461</v>
      </c>
      <c r="G60" s="6">
        <f t="shared" si="9"/>
        <v>0.42159647630338309</v>
      </c>
      <c r="H60" s="6">
        <f t="shared" si="10"/>
        <v>0.45925045365970835</v>
      </c>
      <c r="I60" s="12">
        <f t="shared" si="11"/>
        <v>0.69881657879668357</v>
      </c>
    </row>
    <row r="61" spans="1:9" ht="18.75">
      <c r="A61" s="6">
        <v>510</v>
      </c>
      <c r="B61" s="6">
        <f t="shared" si="12"/>
        <v>0.99614458654445703</v>
      </c>
      <c r="C61" s="6">
        <f t="shared" si="12"/>
        <v>0.88463042621549515</v>
      </c>
      <c r="D61" s="6">
        <f t="shared" si="12"/>
        <v>0.46688745100502893</v>
      </c>
      <c r="E61" s="6">
        <f t="shared" si="7"/>
        <v>3.8554134555429664E-3</v>
      </c>
      <c r="F61" s="6">
        <f t="shared" si="8"/>
        <v>0.11151416032896189</v>
      </c>
      <c r="G61" s="6">
        <f t="shared" si="9"/>
        <v>0.41774297521046622</v>
      </c>
      <c r="H61" s="6">
        <f t="shared" si="10"/>
        <v>0.46688745100502893</v>
      </c>
      <c r="I61" s="12">
        <f t="shared" si="11"/>
        <v>0.70363747869250248</v>
      </c>
    </row>
    <row r="62" spans="1:9" ht="18.75">
      <c r="A62" s="6">
        <v>520</v>
      </c>
      <c r="B62" s="6">
        <f t="shared" si="12"/>
        <v>0.99635533728530068</v>
      </c>
      <c r="C62" s="6">
        <f t="shared" si="12"/>
        <v>0.88825676433360801</v>
      </c>
      <c r="D62" s="6">
        <f t="shared" si="12"/>
        <v>0.47438802225706644</v>
      </c>
      <c r="E62" s="6">
        <f t="shared" si="7"/>
        <v>3.6446627146993205E-3</v>
      </c>
      <c r="F62" s="6">
        <f t="shared" si="8"/>
        <v>0.10809857295169267</v>
      </c>
      <c r="G62" s="6">
        <f t="shared" si="9"/>
        <v>0.41386874207654156</v>
      </c>
      <c r="H62" s="6">
        <f t="shared" si="10"/>
        <v>0.47438802225706644</v>
      </c>
      <c r="I62" s="12">
        <f t="shared" si="11"/>
        <v>0.70834703653326037</v>
      </c>
    </row>
    <row r="63" spans="1:9" ht="18.75">
      <c r="A63" s="6">
        <v>530</v>
      </c>
      <c r="B63" s="6">
        <f t="shared" si="12"/>
        <v>0.99655196999296602</v>
      </c>
      <c r="C63" s="6">
        <f t="shared" si="12"/>
        <v>0.89173408514063746</v>
      </c>
      <c r="D63" s="6">
        <f t="shared" si="12"/>
        <v>0.48175456470710126</v>
      </c>
      <c r="E63" s="6">
        <f t="shared" si="7"/>
        <v>3.4480300070339753E-3</v>
      </c>
      <c r="F63" s="6">
        <f t="shared" si="8"/>
        <v>0.10481788485232857</v>
      </c>
      <c r="G63" s="6">
        <f t="shared" si="9"/>
        <v>0.40997952043353619</v>
      </c>
      <c r="H63" s="6">
        <f t="shared" si="10"/>
        <v>0.48175456470710126</v>
      </c>
      <c r="I63" s="12">
        <f t="shared" si="11"/>
        <v>0.7129487961369515</v>
      </c>
    </row>
    <row r="64" spans="1:9" ht="18.75">
      <c r="A64" s="6">
        <v>540</v>
      </c>
      <c r="B64" s="6">
        <f t="shared" si="12"/>
        <v>0.99673560841655606</v>
      </c>
      <c r="C64" s="6">
        <f t="shared" si="12"/>
        <v>0.89507002301794625</v>
      </c>
      <c r="D64" s="6">
        <f t="shared" si="12"/>
        <v>0.48898948334147962</v>
      </c>
      <c r="E64" s="6">
        <f t="shared" si="7"/>
        <v>3.2643915834439374E-3</v>
      </c>
      <c r="F64" s="6">
        <f t="shared" si="8"/>
        <v>0.10166558539860981</v>
      </c>
      <c r="G64" s="6">
        <f t="shared" si="9"/>
        <v>0.40608053967646662</v>
      </c>
      <c r="H64" s="6">
        <f t="shared" si="10"/>
        <v>0.48898948334147962</v>
      </c>
      <c r="I64" s="12">
        <f t="shared" si="11"/>
        <v>0.71744614952936536</v>
      </c>
    </row>
    <row r="65" spans="1:9" ht="18.75">
      <c r="A65" s="6">
        <v>550</v>
      </c>
      <c r="B65" s="6">
        <f t="shared" si="12"/>
        <v>0.99690727256219913</v>
      </c>
      <c r="C65" s="6">
        <f t="shared" si="12"/>
        <v>0.89827174261056431</v>
      </c>
      <c r="D65" s="6">
        <f t="shared" si="12"/>
        <v>0.49609518363794197</v>
      </c>
      <c r="E65" s="6">
        <f t="shared" si="7"/>
        <v>3.0927274378008685E-3</v>
      </c>
      <c r="F65" s="6">
        <f t="shared" si="8"/>
        <v>9.8635529951634826E-2</v>
      </c>
      <c r="G65" s="6">
        <f t="shared" si="9"/>
        <v>0.40217655897262233</v>
      </c>
      <c r="H65" s="6">
        <f t="shared" si="10"/>
        <v>0.49609518363794197</v>
      </c>
      <c r="I65" s="12">
        <f t="shared" si="11"/>
        <v>0.72184234561216187</v>
      </c>
    </row>
    <row r="66" spans="1:9" ht="18.75">
      <c r="A66" s="6">
        <v>560</v>
      </c>
      <c r="B66" s="6">
        <f t="shared" si="12"/>
        <v>0.99706788958988457</v>
      </c>
      <c r="C66" s="6">
        <f t="shared" si="12"/>
        <v>0.9013459725111177</v>
      </c>
      <c r="D66" s="6">
        <f t="shared" si="12"/>
        <v>0.5030740653068938</v>
      </c>
      <c r="E66" s="6">
        <f t="shared" si="7"/>
        <v>2.9321104101154294E-3</v>
      </c>
      <c r="F66" s="6">
        <f t="shared" si="8"/>
        <v>9.5721917078766872E-2</v>
      </c>
      <c r="G66" s="6">
        <f t="shared" si="9"/>
        <v>0.3982719072042239</v>
      </c>
      <c r="H66" s="6">
        <f t="shared" si="10"/>
        <v>0.5030740653068938</v>
      </c>
      <c r="I66" s="12">
        <f t="shared" si="11"/>
        <v>0.72614049817869741</v>
      </c>
    </row>
    <row r="67" spans="1:9" ht="18.75">
      <c r="A67" s="6">
        <v>570</v>
      </c>
      <c r="B67" s="6">
        <f t="shared" si="12"/>
        <v>0.99721830342808548</v>
      </c>
      <c r="C67" s="6">
        <f t="shared" si="12"/>
        <v>0.90429903619839869</v>
      </c>
      <c r="D67" s="6">
        <f t="shared" si="12"/>
        <v>0.50992851686759399</v>
      </c>
      <c r="E67" s="6">
        <f t="shared" si="7"/>
        <v>2.7816965719145159E-3</v>
      </c>
      <c r="F67" s="6">
        <f t="shared" si="8"/>
        <v>9.2919267229686797E-2</v>
      </c>
      <c r="G67" s="6">
        <f t="shared" si="9"/>
        <v>0.39437051933080469</v>
      </c>
      <c r="H67" s="6">
        <f t="shared" si="10"/>
        <v>0.50992851686759399</v>
      </c>
      <c r="I67" s="12">
        <f t="shared" si="11"/>
        <v>0.7303435933404181</v>
      </c>
    </row>
    <row r="68" spans="1:9" ht="18.75">
      <c r="A68" s="6">
        <v>580</v>
      </c>
      <c r="B68" s="6">
        <f t="shared" si="12"/>
        <v>0.99735928327305368</v>
      </c>
      <c r="C68" s="6">
        <f t="shared" si="12"/>
        <v>0.90713688047936536</v>
      </c>
      <c r="D68" s="6">
        <f t="shared" si="12"/>
        <v>0.51666091096225841</v>
      </c>
      <c r="E68" s="6">
        <f t="shared" si="7"/>
        <v>2.6407167269463239E-3</v>
      </c>
      <c r="F68" s="6">
        <f t="shared" si="8"/>
        <v>9.0222402793688317E-2</v>
      </c>
      <c r="G68" s="6">
        <f t="shared" si="9"/>
        <v>0.39047596951710695</v>
      </c>
      <c r="H68" s="6">
        <f t="shared" si="10"/>
        <v>0.51666091096225841</v>
      </c>
      <c r="I68" s="12">
        <f t="shared" si="11"/>
        <v>0.73445449641923399</v>
      </c>
    </row>
    <row r="69" spans="1:9" ht="18.75">
      <c r="A69" s="6">
        <v>590</v>
      </c>
      <c r="B69" s="6">
        <f t="shared" si="12"/>
        <v>0.99749153111590161</v>
      </c>
      <c r="C69" s="6">
        <f t="shared" si="12"/>
        <v>0.90986510165880918</v>
      </c>
      <c r="D69" s="6">
        <f t="shared" si="12"/>
        <v>0.52327360032245518</v>
      </c>
      <c r="E69" s="6">
        <f t="shared" si="7"/>
        <v>2.5084688840983915E-3</v>
      </c>
      <c r="F69" s="6">
        <f t="shared" si="8"/>
        <v>8.7626429457092425E-2</v>
      </c>
      <c r="G69" s="6">
        <f t="shared" si="9"/>
        <v>0.386591501336354</v>
      </c>
      <c r="H69" s="6">
        <f t="shared" si="10"/>
        <v>0.52327360032245518</v>
      </c>
      <c r="I69" s="12">
        <f t="shared" si="11"/>
        <v>0.73847595835490532</v>
      </c>
    </row>
    <row r="70" spans="1:9" ht="18.75">
      <c r="A70" s="6">
        <v>600</v>
      </c>
      <c r="B70" s="6">
        <f t="shared" ref="B70:D89" si="13">IF($A70&lt;=0,0,_xlfn.NORM.S.DIST((LN($A70)-C$5)/$B$6,TRUE()))</f>
        <v>0.99761568842048221</v>
      </c>
      <c r="C70" s="6">
        <f t="shared" si="13"/>
        <v>0.91248896963895776</v>
      </c>
      <c r="D70" s="6">
        <f t="shared" si="13"/>
        <v>0.52976891431216178</v>
      </c>
      <c r="E70" s="6">
        <f t="shared" si="7"/>
        <v>2.3843115795177949E-3</v>
      </c>
      <c r="F70" s="6">
        <f t="shared" si="8"/>
        <v>8.5126718781524446E-2</v>
      </c>
      <c r="G70" s="6">
        <f t="shared" si="9"/>
        <v>0.38272005532679598</v>
      </c>
      <c r="H70" s="6">
        <f t="shared" si="10"/>
        <v>0.52976891431216178</v>
      </c>
      <c r="I70" s="12">
        <f t="shared" si="11"/>
        <v>0.74241062167094085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20" sqref="B20"/>
    </sheetView>
  </sheetViews>
  <sheetFormatPr defaultColWidth="8.7109375" defaultRowHeight="15"/>
  <cols>
    <col min="1" max="1" width="12" customWidth="1"/>
    <col min="2" max="10" width="15" customWidth="1"/>
  </cols>
  <sheetData>
    <row r="1" spans="1:9">
      <c r="A1" s="1" t="s">
        <v>46</v>
      </c>
    </row>
    <row r="3" spans="1:9">
      <c r="A3" s="6" t="s">
        <v>21</v>
      </c>
      <c r="B3" s="5">
        <v>0</v>
      </c>
      <c r="C3" s="5">
        <v>1</v>
      </c>
      <c r="D3" s="5">
        <v>2</v>
      </c>
      <c r="E3" s="5">
        <v>3</v>
      </c>
    </row>
    <row r="4" spans="1:9" ht="18.75">
      <c r="A4" s="6" t="s">
        <v>35</v>
      </c>
      <c r="B4" s="8">
        <f>データ!$C$20</f>
        <v>0</v>
      </c>
      <c r="C4" s="8">
        <f>データ!$C$21</f>
        <v>0.25</v>
      </c>
      <c r="D4" s="8">
        <f>データ!$C$22</f>
        <v>0.5</v>
      </c>
      <c r="E4" s="8">
        <f>データ!$C$23</f>
        <v>1</v>
      </c>
    </row>
    <row r="5" spans="1:9" ht="18.75">
      <c r="A5" s="4" t="s">
        <v>36</v>
      </c>
      <c r="C5" s="10">
        <f>データ!$D$5</f>
        <v>2.72</v>
      </c>
      <c r="D5" s="10">
        <f>データ!$D$6</f>
        <v>4.99</v>
      </c>
      <c r="E5" s="10">
        <f>データ!$D$7</f>
        <v>5.59</v>
      </c>
    </row>
    <row r="6" spans="1:9" ht="18.75">
      <c r="A6" s="4" t="s">
        <v>14</v>
      </c>
      <c r="B6" s="10">
        <f>データ!$D$10</f>
        <v>0.84</v>
      </c>
    </row>
    <row r="7" spans="1:9" ht="18.75">
      <c r="A7" s="11"/>
    </row>
    <row r="9" spans="1:9" ht="37.5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  <c r="H9" s="5" t="s">
        <v>44</v>
      </c>
      <c r="I9" s="5" t="s">
        <v>35</v>
      </c>
    </row>
    <row r="10" spans="1:9" ht="18.75">
      <c r="A10" s="6">
        <v>0</v>
      </c>
      <c r="B10" s="6">
        <f t="shared" ref="B10:D29" si="0">IF($A10&lt;=0,0,_xlfn.NORM.S.DIST((LN($A10)-C$5)/$B$6,TRUE()))</f>
        <v>0</v>
      </c>
      <c r="C10" s="6">
        <f t="shared" si="0"/>
        <v>0</v>
      </c>
      <c r="D10" s="6">
        <f t="shared" si="0"/>
        <v>0</v>
      </c>
      <c r="E10" s="6">
        <f t="shared" ref="E10:E41" si="1">1-B10</f>
        <v>1</v>
      </c>
      <c r="F10" s="6">
        <f t="shared" ref="F10:F41" si="2">B10-C10</f>
        <v>0</v>
      </c>
      <c r="G10" s="6">
        <f t="shared" ref="G10:G41" si="3">C10-D10</f>
        <v>0</v>
      </c>
      <c r="H10" s="6">
        <f t="shared" ref="H10:H41" si="4">D10</f>
        <v>0</v>
      </c>
      <c r="I10" s="12">
        <f t="shared" ref="I10:I41" si="5">E10*$B$4+F10*$C$4+G10*$D$4+H10*$E$4</f>
        <v>0</v>
      </c>
    </row>
    <row r="11" spans="1:9" ht="18.75">
      <c r="A11" s="6">
        <v>10</v>
      </c>
      <c r="B11" s="6">
        <f t="shared" si="0"/>
        <v>0.30962184914693536</v>
      </c>
      <c r="C11" s="6">
        <f t="shared" si="0"/>
        <v>6.8880040092250032E-4</v>
      </c>
      <c r="D11" s="6">
        <f t="shared" si="0"/>
        <v>4.5467148180961903E-5</v>
      </c>
      <c r="E11" s="6">
        <f t="shared" si="1"/>
        <v>0.69037815085306464</v>
      </c>
      <c r="F11" s="6">
        <f t="shared" si="2"/>
        <v>0.30893304874601285</v>
      </c>
      <c r="G11" s="6">
        <f t="shared" si="3"/>
        <v>6.4333325274153847E-4</v>
      </c>
      <c r="H11" s="6">
        <f t="shared" si="4"/>
        <v>4.5467148180961903E-5</v>
      </c>
      <c r="I11" s="12">
        <f t="shared" si="5"/>
        <v>7.7600395961054947E-2</v>
      </c>
    </row>
    <row r="12" spans="1:9" ht="18.75">
      <c r="A12" s="6">
        <v>20</v>
      </c>
      <c r="B12" s="6">
        <f t="shared" si="0"/>
        <v>0.62863970029865601</v>
      </c>
      <c r="C12" s="6">
        <f t="shared" si="0"/>
        <v>8.795219815931201E-3</v>
      </c>
      <c r="D12" s="6">
        <f t="shared" si="0"/>
        <v>1.0061397656353679E-3</v>
      </c>
      <c r="E12" s="6">
        <f t="shared" si="1"/>
        <v>0.37136029970134399</v>
      </c>
      <c r="F12" s="6">
        <f t="shared" si="2"/>
        <v>0.61984448048272478</v>
      </c>
      <c r="G12" s="6">
        <f t="shared" si="3"/>
        <v>7.7890800502958329E-3</v>
      </c>
      <c r="H12" s="6">
        <f t="shared" si="4"/>
        <v>1.0061397656353679E-3</v>
      </c>
      <c r="I12" s="12">
        <f t="shared" si="5"/>
        <v>0.15986179991146449</v>
      </c>
    </row>
    <row r="13" spans="1:9" ht="18.75">
      <c r="A13" s="6">
        <v>30</v>
      </c>
      <c r="B13" s="6">
        <f t="shared" si="0"/>
        <v>0.79130259615528142</v>
      </c>
      <c r="C13" s="6">
        <f t="shared" si="0"/>
        <v>2.9283370914100434E-2</v>
      </c>
      <c r="D13" s="6">
        <f t="shared" si="0"/>
        <v>4.5841034988796927E-3</v>
      </c>
      <c r="E13" s="6">
        <f t="shared" si="1"/>
        <v>0.20869740384471858</v>
      </c>
      <c r="F13" s="6">
        <f t="shared" si="2"/>
        <v>0.76201922524118104</v>
      </c>
      <c r="G13" s="6">
        <f t="shared" si="3"/>
        <v>2.469926741522074E-2</v>
      </c>
      <c r="H13" s="6">
        <f t="shared" si="4"/>
        <v>4.5841034988796927E-3</v>
      </c>
      <c r="I13" s="12">
        <f t="shared" si="5"/>
        <v>0.20743854351678531</v>
      </c>
    </row>
    <row r="14" spans="1:9" ht="18.75">
      <c r="A14" s="6">
        <v>40</v>
      </c>
      <c r="B14" s="6">
        <f t="shared" si="0"/>
        <v>0.87563260675395616</v>
      </c>
      <c r="C14" s="6">
        <f t="shared" si="0"/>
        <v>6.0696505708772018E-2</v>
      </c>
      <c r="D14" s="6">
        <f t="shared" si="0"/>
        <v>1.1810488003635837E-2</v>
      </c>
      <c r="E14" s="6">
        <f t="shared" si="1"/>
        <v>0.12436739324604384</v>
      </c>
      <c r="F14" s="6">
        <f t="shared" si="2"/>
        <v>0.8149361010451841</v>
      </c>
      <c r="G14" s="6">
        <f t="shared" si="3"/>
        <v>4.8886017705136182E-2</v>
      </c>
      <c r="H14" s="6">
        <f t="shared" si="4"/>
        <v>1.1810488003635837E-2</v>
      </c>
      <c r="I14" s="12">
        <f t="shared" si="5"/>
        <v>0.23998752211749996</v>
      </c>
    </row>
    <row r="15" spans="1:9" ht="18.75">
      <c r="A15" s="6">
        <v>50</v>
      </c>
      <c r="B15" s="6">
        <f t="shared" si="0"/>
        <v>0.92206142514624279</v>
      </c>
      <c r="C15" s="6">
        <f t="shared" si="0"/>
        <v>9.9692455189089674E-2</v>
      </c>
      <c r="D15" s="6">
        <f t="shared" si="0"/>
        <v>2.2880474071701965E-2</v>
      </c>
      <c r="E15" s="6">
        <f t="shared" si="1"/>
        <v>7.7938574853757214E-2</v>
      </c>
      <c r="F15" s="6">
        <f t="shared" si="2"/>
        <v>0.82236896995715314</v>
      </c>
      <c r="G15" s="6">
        <f t="shared" si="3"/>
        <v>7.6811981117387712E-2</v>
      </c>
      <c r="H15" s="6">
        <f t="shared" si="4"/>
        <v>2.2880474071701965E-2</v>
      </c>
      <c r="I15" s="12">
        <f t="shared" si="5"/>
        <v>0.26687870711968409</v>
      </c>
    </row>
    <row r="16" spans="1:9" ht="18.75">
      <c r="A16" s="6">
        <v>60</v>
      </c>
      <c r="B16" s="6">
        <f t="shared" si="0"/>
        <v>0.94909323099929033</v>
      </c>
      <c r="C16" s="6">
        <f t="shared" si="0"/>
        <v>0.1431538598425427</v>
      </c>
      <c r="D16" s="6">
        <f t="shared" si="0"/>
        <v>3.7493635728135861E-2</v>
      </c>
      <c r="E16" s="6">
        <f t="shared" si="1"/>
        <v>5.0906769000709673E-2</v>
      </c>
      <c r="F16" s="6">
        <f t="shared" si="2"/>
        <v>0.80593937115674763</v>
      </c>
      <c r="G16" s="6">
        <f t="shared" si="3"/>
        <v>0.10566022411440684</v>
      </c>
      <c r="H16" s="6">
        <f t="shared" si="4"/>
        <v>3.7493635728135861E-2</v>
      </c>
      <c r="I16" s="12">
        <f t="shared" si="5"/>
        <v>0.29180859057452618</v>
      </c>
    </row>
    <row r="17" spans="1:9" ht="18.75">
      <c r="A17" s="6">
        <v>70</v>
      </c>
      <c r="B17" s="6">
        <f t="shared" si="0"/>
        <v>0.96559286311298331</v>
      </c>
      <c r="C17" s="6">
        <f t="shared" si="0"/>
        <v>0.18868736661335844</v>
      </c>
      <c r="D17" s="6">
        <f t="shared" si="0"/>
        <v>5.5129568720925733E-2</v>
      </c>
      <c r="E17" s="6">
        <f t="shared" si="1"/>
        <v>3.4407136887016687E-2</v>
      </c>
      <c r="F17" s="6">
        <f t="shared" si="2"/>
        <v>0.77690549649962493</v>
      </c>
      <c r="G17" s="6">
        <f t="shared" si="3"/>
        <v>0.13355779789243272</v>
      </c>
      <c r="H17" s="6">
        <f t="shared" si="4"/>
        <v>5.5129568720925733E-2</v>
      </c>
      <c r="I17" s="12">
        <f t="shared" si="5"/>
        <v>0.31613484179204832</v>
      </c>
    </row>
    <row r="18" spans="1:9" ht="18.75">
      <c r="A18" s="6">
        <v>80</v>
      </c>
      <c r="B18" s="6">
        <f t="shared" si="0"/>
        <v>0.97606964687479236</v>
      </c>
      <c r="C18" s="6">
        <f t="shared" si="0"/>
        <v>0.23460107543444192</v>
      </c>
      <c r="D18" s="6">
        <f t="shared" si="0"/>
        <v>7.520801460893875E-2</v>
      </c>
      <c r="E18" s="6">
        <f t="shared" si="1"/>
        <v>2.3930353125207637E-2</v>
      </c>
      <c r="F18" s="6">
        <f t="shared" si="2"/>
        <v>0.74146857144035039</v>
      </c>
      <c r="G18" s="6">
        <f t="shared" si="3"/>
        <v>0.15939306082550317</v>
      </c>
      <c r="H18" s="6">
        <f t="shared" si="4"/>
        <v>7.520801460893875E-2</v>
      </c>
      <c r="I18" s="12">
        <f t="shared" si="5"/>
        <v>0.34027168788177797</v>
      </c>
    </row>
    <row r="19" spans="1:9" ht="18.75">
      <c r="A19" s="6">
        <v>90</v>
      </c>
      <c r="B19" s="6">
        <f t="shared" si="0"/>
        <v>0.98294720286894777</v>
      </c>
      <c r="C19" s="6">
        <f t="shared" si="0"/>
        <v>0.27975821740238749</v>
      </c>
      <c r="D19" s="6">
        <f t="shared" si="0"/>
        <v>9.7170193033559782E-2</v>
      </c>
      <c r="E19" s="6">
        <f t="shared" si="1"/>
        <v>1.7052797131052233E-2</v>
      </c>
      <c r="F19" s="6">
        <f t="shared" si="2"/>
        <v>0.70318898546656028</v>
      </c>
      <c r="G19" s="6">
        <f t="shared" si="3"/>
        <v>0.18258802436882771</v>
      </c>
      <c r="H19" s="6">
        <f t="shared" si="4"/>
        <v>9.7170193033559782E-2</v>
      </c>
      <c r="I19" s="12">
        <f t="shared" si="5"/>
        <v>0.3642614515846137</v>
      </c>
    </row>
    <row r="20" spans="1:9" ht="18.75">
      <c r="A20" s="6">
        <v>100</v>
      </c>
      <c r="B20" s="6">
        <f t="shared" si="0"/>
        <v>0.98759184680740808</v>
      </c>
      <c r="C20" s="6">
        <f t="shared" si="0"/>
        <v>0.3234292608747078</v>
      </c>
      <c r="D20" s="6">
        <f t="shared" si="0"/>
        <v>0.12051495006855835</v>
      </c>
      <c r="E20" s="6">
        <f t="shared" si="1"/>
        <v>1.240815319259192E-2</v>
      </c>
      <c r="F20" s="6">
        <f t="shared" si="2"/>
        <v>0.66416258593270028</v>
      </c>
      <c r="G20" s="6">
        <f t="shared" si="3"/>
        <v>0.20291431080614947</v>
      </c>
      <c r="H20" s="6">
        <f t="shared" si="4"/>
        <v>0.12051495006855835</v>
      </c>
      <c r="I20" s="12">
        <f t="shared" si="5"/>
        <v>0.38801275195480817</v>
      </c>
    </row>
    <row r="21" spans="1:9" ht="18.75">
      <c r="A21" s="6">
        <v>110</v>
      </c>
      <c r="B21" s="6">
        <f t="shared" si="0"/>
        <v>0.99080609113594165</v>
      </c>
      <c r="C21" s="6">
        <f t="shared" si="0"/>
        <v>0.36517265390746317</v>
      </c>
      <c r="D21" s="6">
        <f t="shared" si="0"/>
        <v>0.14481083266865749</v>
      </c>
      <c r="E21" s="6">
        <f t="shared" si="1"/>
        <v>9.1939088640583533E-3</v>
      </c>
      <c r="F21" s="6">
        <f t="shared" si="2"/>
        <v>0.62563343722847842</v>
      </c>
      <c r="G21" s="6">
        <f t="shared" si="3"/>
        <v>0.22036182123880568</v>
      </c>
      <c r="H21" s="6">
        <f t="shared" si="4"/>
        <v>0.14481083266865749</v>
      </c>
      <c r="I21" s="12">
        <f t="shared" si="5"/>
        <v>0.4114001025951799</v>
      </c>
    </row>
    <row r="22" spans="1:9" ht="18.75">
      <c r="A22" s="6">
        <v>120</v>
      </c>
      <c r="B22" s="6">
        <f t="shared" si="0"/>
        <v>0.99307826626282714</v>
      </c>
      <c r="C22" s="6">
        <f t="shared" si="0"/>
        <v>0.4047460689637804</v>
      </c>
      <c r="D22" s="6">
        <f t="shared" si="0"/>
        <v>0.1696960749222326</v>
      </c>
      <c r="E22" s="6">
        <f t="shared" si="1"/>
        <v>6.9217337371728638E-3</v>
      </c>
      <c r="F22" s="6">
        <f t="shared" si="2"/>
        <v>0.58833219729904673</v>
      </c>
      <c r="G22" s="6">
        <f t="shared" si="3"/>
        <v>0.23504999404154781</v>
      </c>
      <c r="H22" s="6">
        <f t="shared" si="4"/>
        <v>0.1696960749222326</v>
      </c>
      <c r="I22" s="12">
        <f t="shared" si="5"/>
        <v>0.43430412126776818</v>
      </c>
    </row>
    <row r="23" spans="1:9" ht="18.75">
      <c r="A23" s="6">
        <v>130</v>
      </c>
      <c r="B23" s="6">
        <f t="shared" si="0"/>
        <v>0.99471479305465726</v>
      </c>
      <c r="C23" s="6">
        <f t="shared" si="0"/>
        <v>0.44204266908768186</v>
      </c>
      <c r="D23" s="6">
        <f t="shared" si="0"/>
        <v>0.19487301405621232</v>
      </c>
      <c r="E23" s="6">
        <f t="shared" si="1"/>
        <v>5.2852069453427353E-3</v>
      </c>
      <c r="F23" s="6">
        <f t="shared" si="2"/>
        <v>0.5526721239669754</v>
      </c>
      <c r="G23" s="6">
        <f t="shared" si="3"/>
        <v>0.24716965503146954</v>
      </c>
      <c r="H23" s="6">
        <f t="shared" si="4"/>
        <v>0.19487301405621232</v>
      </c>
      <c r="I23" s="12">
        <f t="shared" si="5"/>
        <v>0.45662587256369097</v>
      </c>
    </row>
    <row r="24" spans="1:9" ht="18.75">
      <c r="A24" s="6">
        <v>140</v>
      </c>
      <c r="B24" s="6">
        <f t="shared" si="0"/>
        <v>0.99591318916543048</v>
      </c>
      <c r="C24" s="6">
        <f t="shared" si="0"/>
        <v>0.47704615297257491</v>
      </c>
      <c r="D24" s="6">
        <f t="shared" si="0"/>
        <v>0.22010037564985394</v>
      </c>
      <c r="E24" s="6">
        <f t="shared" si="1"/>
        <v>4.0868108345695209E-3</v>
      </c>
      <c r="F24" s="6">
        <f t="shared" si="2"/>
        <v>0.51886703619285557</v>
      </c>
      <c r="G24" s="6">
        <f t="shared" si="3"/>
        <v>0.25694577732272095</v>
      </c>
      <c r="H24" s="6">
        <f t="shared" si="4"/>
        <v>0.22010037564985394</v>
      </c>
      <c r="I24" s="12">
        <f t="shared" si="5"/>
        <v>0.47829002335942827</v>
      </c>
    </row>
    <row r="25" spans="1:9" ht="18.75">
      <c r="A25" s="6">
        <v>150</v>
      </c>
      <c r="B25" s="6">
        <f t="shared" si="0"/>
        <v>0.99680383257340699</v>
      </c>
      <c r="C25" s="6">
        <f t="shared" si="0"/>
        <v>0.50979936113672419</v>
      </c>
      <c r="D25" s="6">
        <f t="shared" si="0"/>
        <v>0.24518517827165787</v>
      </c>
      <c r="E25" s="6">
        <f t="shared" si="1"/>
        <v>3.1961674265930107E-3</v>
      </c>
      <c r="F25" s="6">
        <f t="shared" si="2"/>
        <v>0.4870044714366828</v>
      </c>
      <c r="G25" s="6">
        <f t="shared" si="3"/>
        <v>0.26461418286506633</v>
      </c>
      <c r="H25" s="6">
        <f t="shared" si="4"/>
        <v>0.24518517827165787</v>
      </c>
      <c r="I25" s="12">
        <f t="shared" si="5"/>
        <v>0.49924338756336173</v>
      </c>
    </row>
    <row r="26" spans="1:9" ht="18.75">
      <c r="A26" s="6">
        <v>160</v>
      </c>
      <c r="B26" s="6">
        <f t="shared" si="0"/>
        <v>0.99747461931279191</v>
      </c>
      <c r="C26" s="6">
        <f t="shared" si="0"/>
        <v>0.54038249946916039</v>
      </c>
      <c r="D26" s="6">
        <f t="shared" si="0"/>
        <v>0.26997509497177469</v>
      </c>
      <c r="E26" s="6">
        <f t="shared" si="1"/>
        <v>2.5253806872080897E-3</v>
      </c>
      <c r="F26" s="6">
        <f t="shared" si="2"/>
        <v>0.45709211984363152</v>
      </c>
      <c r="G26" s="6">
        <f t="shared" si="3"/>
        <v>0.27040740449738571</v>
      </c>
      <c r="H26" s="6">
        <f t="shared" si="4"/>
        <v>0.26997509497177469</v>
      </c>
      <c r="I26" s="12">
        <f t="shared" si="5"/>
        <v>0.51945182718137539</v>
      </c>
    </row>
    <row r="27" spans="1:9" ht="18.75">
      <c r="A27" s="6">
        <v>170</v>
      </c>
      <c r="B27" s="6">
        <f t="shared" si="0"/>
        <v>0.99798593575027228</v>
      </c>
      <c r="C27" s="6">
        <f t="shared" si="0"/>
        <v>0.56889812488318225</v>
      </c>
      <c r="D27" s="6">
        <f t="shared" si="0"/>
        <v>0.29435162381927055</v>
      </c>
      <c r="E27" s="6">
        <f t="shared" si="1"/>
        <v>2.0140642497277206E-3</v>
      </c>
      <c r="F27" s="6">
        <f t="shared" si="2"/>
        <v>0.42908781086709002</v>
      </c>
      <c r="G27" s="6">
        <f t="shared" si="3"/>
        <v>0.27454650106391171</v>
      </c>
      <c r="H27" s="6">
        <f t="shared" si="4"/>
        <v>0.29435162381927055</v>
      </c>
      <c r="I27" s="12">
        <f t="shared" si="5"/>
        <v>0.53889682706799891</v>
      </c>
    </row>
    <row r="28" spans="1:9" ht="18.75">
      <c r="A28" s="6">
        <v>180</v>
      </c>
      <c r="B28" s="6">
        <f t="shared" si="0"/>
        <v>0.99837998037868769</v>
      </c>
      <c r="C28" s="6">
        <f t="shared" si="0"/>
        <v>0.5954608666837421</v>
      </c>
      <c r="D28" s="6">
        <f t="shared" si="0"/>
        <v>0.31822416822410637</v>
      </c>
      <c r="E28" s="6">
        <f t="shared" si="1"/>
        <v>1.6200196213123075E-3</v>
      </c>
      <c r="F28" s="6">
        <f t="shared" si="2"/>
        <v>0.4029191136949456</v>
      </c>
      <c r="G28" s="6">
        <f t="shared" si="3"/>
        <v>0.27723669845963572</v>
      </c>
      <c r="H28" s="6">
        <f t="shared" si="4"/>
        <v>0.31822416822410637</v>
      </c>
      <c r="I28" s="12">
        <f t="shared" si="5"/>
        <v>0.55757229587766066</v>
      </c>
    </row>
    <row r="29" spans="1:9" ht="18.75">
      <c r="A29" s="6">
        <v>190</v>
      </c>
      <c r="B29" s="6">
        <f t="shared" si="0"/>
        <v>0.99868669965080037</v>
      </c>
      <c r="C29" s="6">
        <f t="shared" si="0"/>
        <v>0.62019045845918563</v>
      </c>
      <c r="D29" s="6">
        <f t="shared" si="0"/>
        <v>0.34152500338572289</v>
      </c>
      <c r="E29" s="6">
        <f t="shared" si="1"/>
        <v>1.3133003491996309E-3</v>
      </c>
      <c r="F29" s="6">
        <f t="shared" si="2"/>
        <v>0.37849624119161474</v>
      </c>
      <c r="G29" s="6">
        <f t="shared" si="3"/>
        <v>0.27866545507346274</v>
      </c>
      <c r="H29" s="6">
        <f t="shared" si="4"/>
        <v>0.34152500338572289</v>
      </c>
      <c r="I29" s="12">
        <f t="shared" si="5"/>
        <v>0.57548179122035792</v>
      </c>
    </row>
    <row r="30" spans="1:9" ht="18.75">
      <c r="A30" s="6">
        <v>200</v>
      </c>
      <c r="B30" s="6">
        <f t="shared" ref="B30:D49" si="6">IF($A30&lt;=0,0,_xlfn.NORM.S.DIST((LN($A30)-C$5)/$B$6,TRUE()))</f>
        <v>0.99892764532451983</v>
      </c>
      <c r="C30" s="6">
        <f t="shared" si="6"/>
        <v>0.64320708162749685</v>
      </c>
      <c r="D30" s="6">
        <f t="shared" si="6"/>
        <v>0.36420504915005408</v>
      </c>
      <c r="E30" s="6">
        <f t="shared" si="1"/>
        <v>1.0723546754801694E-3</v>
      </c>
      <c r="F30" s="6">
        <f t="shared" si="2"/>
        <v>0.35572056369702298</v>
      </c>
      <c r="G30" s="6">
        <f t="shared" si="3"/>
        <v>0.27900203247744276</v>
      </c>
      <c r="H30" s="6">
        <f t="shared" si="4"/>
        <v>0.36420504915005408</v>
      </c>
      <c r="I30" s="12">
        <f t="shared" si="5"/>
        <v>0.59263620631303127</v>
      </c>
    </row>
    <row r="31" spans="1:9" ht="18.75">
      <c r="A31" s="6">
        <v>210</v>
      </c>
      <c r="B31" s="6">
        <f t="shared" si="6"/>
        <v>0.9991185277842769</v>
      </c>
      <c r="C31" s="6">
        <f t="shared" si="6"/>
        <v>0.66462832097028834</v>
      </c>
      <c r="D31" s="6">
        <f t="shared" si="6"/>
        <v>0.38623034955535657</v>
      </c>
      <c r="E31" s="6">
        <f t="shared" si="1"/>
        <v>8.8147221572310031E-4</v>
      </c>
      <c r="F31" s="6">
        <f t="shared" si="2"/>
        <v>0.33449020681398856</v>
      </c>
      <c r="G31" s="6">
        <f t="shared" si="3"/>
        <v>0.27839797141493178</v>
      </c>
      <c r="H31" s="6">
        <f t="shared" si="4"/>
        <v>0.38623034955535657</v>
      </c>
      <c r="I31" s="12">
        <f t="shared" si="5"/>
        <v>0.60905188696631962</v>
      </c>
    </row>
    <row r="32" spans="1:9" ht="18.75">
      <c r="A32" s="6">
        <v>220</v>
      </c>
      <c r="B32" s="6">
        <f t="shared" si="6"/>
        <v>0.99927093484814544</v>
      </c>
      <c r="C32" s="6">
        <f t="shared" si="6"/>
        <v>0.68456724165296889</v>
      </c>
      <c r="D32" s="6">
        <f t="shared" si="6"/>
        <v>0.40757915770155739</v>
      </c>
      <c r="E32" s="6">
        <f t="shared" si="1"/>
        <v>7.2906515185455767E-4</v>
      </c>
      <c r="F32" s="6">
        <f t="shared" si="2"/>
        <v>0.31470369319517655</v>
      </c>
      <c r="G32" s="6">
        <f t="shared" si="3"/>
        <v>0.2769880839514115</v>
      </c>
      <c r="H32" s="6">
        <f t="shared" si="4"/>
        <v>0.40757915770155739</v>
      </c>
      <c r="I32" s="12">
        <f t="shared" si="5"/>
        <v>0.62474912297605734</v>
      </c>
    </row>
    <row r="33" spans="1:9" ht="18.75">
      <c r="A33" s="6">
        <v>230</v>
      </c>
      <c r="B33" s="6">
        <f t="shared" si="6"/>
        <v>0.99939350676958283</v>
      </c>
      <c r="C33" s="6">
        <f t="shared" si="6"/>
        <v>0.70313124338496713</v>
      </c>
      <c r="D33" s="6">
        <f t="shared" si="6"/>
        <v>0.42823953164733936</v>
      </c>
      <c r="E33" s="6">
        <f t="shared" si="1"/>
        <v>6.0649323041717107E-4</v>
      </c>
      <c r="F33" s="6">
        <f t="shared" si="2"/>
        <v>0.2962622633846157</v>
      </c>
      <c r="G33" s="6">
        <f t="shared" si="3"/>
        <v>0.27489171173762778</v>
      </c>
      <c r="H33" s="6">
        <f t="shared" si="4"/>
        <v>0.42823953164733936</v>
      </c>
      <c r="I33" s="12">
        <f t="shared" si="5"/>
        <v>0.63975095336230714</v>
      </c>
    </row>
    <row r="34" spans="1:9" ht="18.75">
      <c r="A34" s="6">
        <v>240</v>
      </c>
      <c r="B34" s="6">
        <f t="shared" si="6"/>
        <v>0.99949275094236367</v>
      </c>
      <c r="C34" s="6">
        <f t="shared" si="6"/>
        <v>0.72042144964778376</v>
      </c>
      <c r="D34" s="6">
        <f t="shared" si="6"/>
        <v>0.44820735765145803</v>
      </c>
      <c r="E34" s="6">
        <f t="shared" si="1"/>
        <v>5.0724905763632755E-4</v>
      </c>
      <c r="F34" s="6">
        <f t="shared" si="2"/>
        <v>0.27907130129457991</v>
      </c>
      <c r="G34" s="6">
        <f t="shared" si="3"/>
        <v>0.27221409199632574</v>
      </c>
      <c r="H34" s="6">
        <f t="shared" si="4"/>
        <v>0.44820735765145803</v>
      </c>
      <c r="I34" s="12">
        <f t="shared" si="5"/>
        <v>0.65408222897326584</v>
      </c>
    </row>
    <row r="35" spans="1:9" ht="18.75">
      <c r="A35" s="6">
        <v>250</v>
      </c>
      <c r="B35" s="6">
        <f t="shared" si="6"/>
        <v>0.99957361421839941</v>
      </c>
      <c r="C35" s="6">
        <f t="shared" si="6"/>
        <v>0.7365324616584481</v>
      </c>
      <c r="D35" s="6">
        <f t="shared" si="6"/>
        <v>0.46748472853218426</v>
      </c>
      <c r="E35" s="6">
        <f t="shared" si="1"/>
        <v>4.2638578160059115E-4</v>
      </c>
      <c r="F35" s="6">
        <f t="shared" si="2"/>
        <v>0.26304115255995131</v>
      </c>
      <c r="G35" s="6">
        <f t="shared" si="3"/>
        <v>0.26904773312626384</v>
      </c>
      <c r="H35" s="6">
        <f t="shared" si="4"/>
        <v>0.46748472853218426</v>
      </c>
      <c r="I35" s="12">
        <f t="shared" si="5"/>
        <v>0.66776888323530403</v>
      </c>
    </row>
    <row r="36" spans="1:9" ht="18.75">
      <c r="A36" s="6">
        <v>260</v>
      </c>
      <c r="B36" s="6">
        <f t="shared" si="6"/>
        <v>0.99963988984553087</v>
      </c>
      <c r="C36" s="6">
        <f t="shared" si="6"/>
        <v>0.75155235719908031</v>
      </c>
      <c r="D36" s="6">
        <f t="shared" si="6"/>
        <v>0.48607861588745355</v>
      </c>
      <c r="E36" s="6">
        <f t="shared" si="1"/>
        <v>3.6011015446912875E-4</v>
      </c>
      <c r="F36" s="6">
        <f t="shared" si="2"/>
        <v>0.24808753264645056</v>
      </c>
      <c r="G36" s="6">
        <f t="shared" si="3"/>
        <v>0.26547374131162677</v>
      </c>
      <c r="H36" s="6">
        <f t="shared" si="4"/>
        <v>0.48607861588745355</v>
      </c>
      <c r="I36" s="12">
        <f t="shared" si="5"/>
        <v>0.68083736970487951</v>
      </c>
    </row>
    <row r="37" spans="1:9" ht="18.75">
      <c r="A37" s="6">
        <v>270</v>
      </c>
      <c r="B37" s="6">
        <f t="shared" si="6"/>
        <v>0.99969451008319232</v>
      </c>
      <c r="C37" s="6">
        <f t="shared" si="6"/>
        <v>0.76556285004034841</v>
      </c>
      <c r="D37" s="6">
        <f t="shared" si="6"/>
        <v>0.50399978480717134</v>
      </c>
      <c r="E37" s="6">
        <f t="shared" si="1"/>
        <v>3.0548991680767745E-4</v>
      </c>
      <c r="F37" s="6">
        <f t="shared" si="2"/>
        <v>0.23413166004284391</v>
      </c>
      <c r="G37" s="6">
        <f t="shared" si="3"/>
        <v>0.26156306523317707</v>
      </c>
      <c r="H37" s="6">
        <f t="shared" si="4"/>
        <v>0.50399978480717134</v>
      </c>
      <c r="I37" s="12">
        <f t="shared" si="5"/>
        <v>0.69331423243447088</v>
      </c>
    </row>
    <row r="38" spans="1:9" ht="18.75">
      <c r="A38" s="6">
        <v>280</v>
      </c>
      <c r="B38" s="6">
        <f t="shared" si="6"/>
        <v>0.99973975882553812</v>
      </c>
      <c r="C38" s="6">
        <f t="shared" si="6"/>
        <v>0.77863955086189662</v>
      </c>
      <c r="D38" s="6">
        <f t="shared" si="6"/>
        <v>0.52126190832255426</v>
      </c>
      <c r="E38" s="6">
        <f t="shared" si="1"/>
        <v>2.6024117446188377E-4</v>
      </c>
      <c r="F38" s="6">
        <f t="shared" si="2"/>
        <v>0.22110020796364149</v>
      </c>
      <c r="G38" s="6">
        <f t="shared" si="3"/>
        <v>0.25737764253934237</v>
      </c>
      <c r="H38" s="6">
        <f t="shared" si="4"/>
        <v>0.52126190832255426</v>
      </c>
      <c r="I38" s="12">
        <f t="shared" si="5"/>
        <v>0.70522578158313576</v>
      </c>
    </row>
    <row r="39" spans="1:9" ht="18.75">
      <c r="A39" s="6">
        <v>290</v>
      </c>
      <c r="B39" s="6">
        <f t="shared" si="6"/>
        <v>0.99977742761618227</v>
      </c>
      <c r="C39" s="6">
        <f t="shared" si="6"/>
        <v>0.79085228841519573</v>
      </c>
      <c r="D39" s="6">
        <f t="shared" si="6"/>
        <v>0.53788084618170184</v>
      </c>
      <c r="E39" s="6">
        <f t="shared" si="1"/>
        <v>2.2257238381773181E-4</v>
      </c>
      <c r="F39" s="6">
        <f t="shared" si="2"/>
        <v>0.20892513920098654</v>
      </c>
      <c r="G39" s="6">
        <f t="shared" si="3"/>
        <v>0.25297144223349388</v>
      </c>
      <c r="H39" s="6">
        <f t="shared" si="4"/>
        <v>0.53788084618170184</v>
      </c>
      <c r="I39" s="12">
        <f t="shared" si="5"/>
        <v>0.71659785209869542</v>
      </c>
    </row>
    <row r="40" spans="1:9" ht="18.75">
      <c r="A40" s="6">
        <v>300</v>
      </c>
      <c r="B40" s="6">
        <f t="shared" si="6"/>
        <v>0.99980893117731751</v>
      </c>
      <c r="C40" s="6">
        <f t="shared" si="6"/>
        <v>0.80226546233828711</v>
      </c>
      <c r="D40" s="6">
        <f t="shared" si="6"/>
        <v>0.55387405871726303</v>
      </c>
      <c r="E40" s="6">
        <f t="shared" si="1"/>
        <v>1.9106882268249414E-4</v>
      </c>
      <c r="F40" s="6">
        <f t="shared" si="2"/>
        <v>0.1975434688390304</v>
      </c>
      <c r="G40" s="6">
        <f t="shared" si="3"/>
        <v>0.24839140362102408</v>
      </c>
      <c r="H40" s="6">
        <f t="shared" si="4"/>
        <v>0.55387405871726303</v>
      </c>
      <c r="I40" s="12">
        <f t="shared" si="5"/>
        <v>0.7274556277375327</v>
      </c>
    </row>
    <row r="41" spans="1:9" ht="18.75">
      <c r="A41" s="6">
        <v>310</v>
      </c>
      <c r="B41" s="6">
        <f t="shared" si="6"/>
        <v>0.99983539369611762</v>
      </c>
      <c r="C41" s="6">
        <f t="shared" si="6"/>
        <v>0.81293840802626227</v>
      </c>
      <c r="D41" s="6">
        <f t="shared" si="6"/>
        <v>0.56926013171985868</v>
      </c>
      <c r="E41" s="6">
        <f t="shared" si="1"/>
        <v>1.6460630388237529E-4</v>
      </c>
      <c r="F41" s="6">
        <f t="shared" si="2"/>
        <v>0.18689698566985535</v>
      </c>
      <c r="G41" s="6">
        <f t="shared" si="3"/>
        <v>0.2436782763064036</v>
      </c>
      <c r="H41" s="6">
        <f t="shared" si="4"/>
        <v>0.56926013171985868</v>
      </c>
      <c r="I41" s="12">
        <f t="shared" si="5"/>
        <v>0.73782351629052434</v>
      </c>
    </row>
    <row r="42" spans="1:9" ht="18.75">
      <c r="A42" s="6">
        <v>320</v>
      </c>
      <c r="B42" s="6">
        <f t="shared" si="6"/>
        <v>0.99985771379211785</v>
      </c>
      <c r="C42" s="6">
        <f t="shared" si="6"/>
        <v>0.82292576034687626</v>
      </c>
      <c r="D42" s="6">
        <f t="shared" si="6"/>
        <v>0.58405839249547165</v>
      </c>
      <c r="E42" s="6">
        <f t="shared" ref="E42:E70" si="7">1-B42</f>
        <v>1.4228620788214741E-4</v>
      </c>
      <c r="F42" s="6">
        <f t="shared" ref="F42:F70" si="8">B42-C42</f>
        <v>0.1769319534452416</v>
      </c>
      <c r="G42" s="6">
        <f t="shared" ref="G42:G70" si="9">C42-D42</f>
        <v>0.23886736785140461</v>
      </c>
      <c r="H42" s="6">
        <f t="shared" ref="H42:H70" si="10">D42</f>
        <v>0.58405839249547165</v>
      </c>
      <c r="I42" s="12">
        <f t="shared" ref="I42:I73" si="11">E42*$B$4+F42*$C$4+G42*$D$4+H42*$E$4</f>
        <v>0.74772506478248435</v>
      </c>
    </row>
    <row r="43" spans="1:9" ht="18.75">
      <c r="A43" s="6">
        <v>330</v>
      </c>
      <c r="B43" s="6">
        <f t="shared" si="6"/>
        <v>0.99987661380592197</v>
      </c>
      <c r="C43" s="6">
        <f t="shared" si="6"/>
        <v>0.83227780751654934</v>
      </c>
      <c r="D43" s="6">
        <f t="shared" si="6"/>
        <v>0.59828860080402346</v>
      </c>
      <c r="E43" s="6">
        <f t="shared" si="7"/>
        <v>1.2338619407803453E-4</v>
      </c>
      <c r="F43" s="6">
        <f t="shared" si="8"/>
        <v>0.16759880628937263</v>
      </c>
      <c r="G43" s="6">
        <f t="shared" si="9"/>
        <v>0.23398920671252588</v>
      </c>
      <c r="H43" s="6">
        <f t="shared" si="10"/>
        <v>0.59828860080402346</v>
      </c>
      <c r="I43" s="12">
        <f t="shared" si="11"/>
        <v>0.75718290573262959</v>
      </c>
    </row>
    <row r="44" spans="1:9" ht="18.75">
      <c r="A44" s="6">
        <v>340</v>
      </c>
      <c r="B44" s="6">
        <f t="shared" si="6"/>
        <v>0.99989267746204369</v>
      </c>
      <c r="C44" s="6">
        <f t="shared" si="6"/>
        <v>0.84104082964913462</v>
      </c>
      <c r="D44" s="6">
        <f t="shared" si="6"/>
        <v>0.61197070127284847</v>
      </c>
      <c r="E44" s="6">
        <f t="shared" si="7"/>
        <v>1.0732253795631141E-4</v>
      </c>
      <c r="F44" s="6">
        <f t="shared" si="8"/>
        <v>0.15885184781290906</v>
      </c>
      <c r="G44" s="6">
        <f t="shared" si="9"/>
        <v>0.22907012837628615</v>
      </c>
      <c r="H44" s="6">
        <f t="shared" si="10"/>
        <v>0.61197070127284847</v>
      </c>
      <c r="I44" s="12">
        <f t="shared" si="11"/>
        <v>0.76621872741421881</v>
      </c>
    </row>
    <row r="45" spans="1:9" ht="18.75">
      <c r="A45" s="6">
        <v>350</v>
      </c>
      <c r="B45" s="6">
        <f t="shared" si="6"/>
        <v>0.9999063788438457</v>
      </c>
      <c r="C45" s="6">
        <f t="shared" si="6"/>
        <v>0.84925741873614524</v>
      </c>
      <c r="D45" s="6">
        <f t="shared" si="6"/>
        <v>0.6251246262594049</v>
      </c>
      <c r="E45" s="6">
        <f t="shared" si="7"/>
        <v>9.3621156154299889E-5</v>
      </c>
      <c r="F45" s="6">
        <f t="shared" si="8"/>
        <v>0.15064896010770046</v>
      </c>
      <c r="G45" s="6">
        <f t="shared" si="9"/>
        <v>0.22413279247674034</v>
      </c>
      <c r="H45" s="6">
        <f t="shared" si="10"/>
        <v>0.6251246262594049</v>
      </c>
      <c r="I45" s="12">
        <f t="shared" si="11"/>
        <v>0.77485326252470021</v>
      </c>
    </row>
    <row r="46" spans="1:9" ht="18.75">
      <c r="A46" s="6">
        <v>360</v>
      </c>
      <c r="B46" s="6">
        <f t="shared" si="6"/>
        <v>0.99991810482821442</v>
      </c>
      <c r="C46" s="6">
        <f t="shared" si="6"/>
        <v>0.85696677838244284</v>
      </c>
      <c r="D46" s="6">
        <f t="shared" si="6"/>
        <v>0.63777014009270649</v>
      </c>
      <c r="E46" s="6">
        <f t="shared" si="7"/>
        <v>8.1895171785584253E-5</v>
      </c>
      <c r="F46" s="6">
        <f t="shared" si="8"/>
        <v>0.14295132644577158</v>
      </c>
      <c r="G46" s="6">
        <f t="shared" si="9"/>
        <v>0.21919663828973635</v>
      </c>
      <c r="H46" s="6">
        <f t="shared" si="10"/>
        <v>0.63777014009270649</v>
      </c>
      <c r="I46" s="12">
        <f t="shared" si="11"/>
        <v>0.78310629084901762</v>
      </c>
    </row>
    <row r="47" spans="1:9" ht="18.75">
      <c r="A47" s="6">
        <v>370</v>
      </c>
      <c r="B47" s="6">
        <f t="shared" si="6"/>
        <v>0.99992817256233224</v>
      </c>
      <c r="C47" s="6">
        <f t="shared" si="6"/>
        <v>0.86420500269898914</v>
      </c>
      <c r="D47" s="6">
        <f t="shared" si="6"/>
        <v>0.64992671722831952</v>
      </c>
      <c r="E47" s="6">
        <f t="shared" si="7"/>
        <v>7.1827437667759675E-5</v>
      </c>
      <c r="F47" s="6">
        <f t="shared" si="8"/>
        <v>0.1357231698633431</v>
      </c>
      <c r="G47" s="6">
        <f t="shared" si="9"/>
        <v>0.21427828547066963</v>
      </c>
      <c r="H47" s="6">
        <f t="shared" si="10"/>
        <v>0.64992671722831952</v>
      </c>
      <c r="I47" s="12">
        <f t="shared" si="11"/>
        <v>0.79099665242949013</v>
      </c>
    </row>
    <row r="48" spans="1:9" ht="18.75">
      <c r="A48" s="6">
        <v>380</v>
      </c>
      <c r="B48" s="6">
        <f t="shared" si="6"/>
        <v>0.99993684315717823</v>
      </c>
      <c r="C48" s="6">
        <f t="shared" si="6"/>
        <v>0.87100533448298489</v>
      </c>
      <c r="D48" s="6">
        <f t="shared" si="6"/>
        <v>0.66161344817018652</v>
      </c>
      <c r="E48" s="6">
        <f t="shared" si="7"/>
        <v>6.315684282176548E-5</v>
      </c>
      <c r="F48" s="6">
        <f t="shared" si="8"/>
        <v>0.12893150867419334</v>
      </c>
      <c r="G48" s="6">
        <f t="shared" si="9"/>
        <v>0.20939188631279837</v>
      </c>
      <c r="H48" s="6">
        <f t="shared" si="10"/>
        <v>0.66161344817018652</v>
      </c>
      <c r="I48" s="12">
        <f t="shared" si="11"/>
        <v>0.79854226849513399</v>
      </c>
    </row>
    <row r="49" spans="1:9" ht="18.75">
      <c r="A49" s="6">
        <v>390</v>
      </c>
      <c r="B49" s="6">
        <f t="shared" si="6"/>
        <v>0.99994433247592462</v>
      </c>
      <c r="C49" s="6">
        <f t="shared" si="6"/>
        <v>0.87739840329542773</v>
      </c>
      <c r="D49" s="6">
        <f t="shared" si="6"/>
        <v>0.67284896809569572</v>
      </c>
      <c r="E49" s="6">
        <f t="shared" si="7"/>
        <v>5.5667524075375674E-5</v>
      </c>
      <c r="F49" s="6">
        <f t="shared" si="8"/>
        <v>0.12254592918049689</v>
      </c>
      <c r="G49" s="6">
        <f t="shared" si="9"/>
        <v>0.20454943519973201</v>
      </c>
      <c r="H49" s="6">
        <f t="shared" si="10"/>
        <v>0.67284896809569572</v>
      </c>
      <c r="I49" s="12">
        <f t="shared" si="11"/>
        <v>0.80576016799068595</v>
      </c>
    </row>
    <row r="50" spans="1:9" ht="18.75">
      <c r="A50" s="6">
        <v>400</v>
      </c>
      <c r="B50" s="6">
        <f t="shared" ref="B50:D69" si="12">IF($A50&lt;=0,0,_xlfn.NORM.S.DIST((LN($A50)-C$5)/$B$6,TRUE()))</f>
        <v>0.99995081967820898</v>
      </c>
      <c r="C50" s="6">
        <f t="shared" si="12"/>
        <v>0.88341244434892441</v>
      </c>
      <c r="D50" s="6">
        <f t="shared" si="12"/>
        <v>0.68365140401094504</v>
      </c>
      <c r="E50" s="6">
        <f t="shared" si="7"/>
        <v>4.9180321791020276E-5</v>
      </c>
      <c r="F50" s="6">
        <f t="shared" si="8"/>
        <v>0.11653837532928457</v>
      </c>
      <c r="G50" s="6">
        <f t="shared" si="9"/>
        <v>0.19976104033797937</v>
      </c>
      <c r="H50" s="6">
        <f t="shared" si="10"/>
        <v>0.68365140401094504</v>
      </c>
      <c r="I50" s="12">
        <f t="shared" si="11"/>
        <v>0.81266651801225587</v>
      </c>
    </row>
    <row r="51" spans="1:9" ht="18.75">
      <c r="A51" s="6">
        <v>410</v>
      </c>
      <c r="B51" s="6">
        <f t="shared" si="12"/>
        <v>0.99995645402098954</v>
      </c>
      <c r="C51" s="6">
        <f t="shared" si="12"/>
        <v>0.88907349929637092</v>
      </c>
      <c r="D51" s="6">
        <f t="shared" si="12"/>
        <v>0.69403833699577788</v>
      </c>
      <c r="E51" s="6">
        <f t="shared" si="7"/>
        <v>4.3545979010461977E-5</v>
      </c>
      <c r="F51" s="6">
        <f t="shared" si="8"/>
        <v>0.11088295472461862</v>
      </c>
      <c r="G51" s="6">
        <f t="shared" si="9"/>
        <v>0.19503516230059303</v>
      </c>
      <c r="H51" s="6">
        <f t="shared" si="10"/>
        <v>0.69403833699577788</v>
      </c>
      <c r="I51" s="12">
        <f t="shared" si="11"/>
        <v>0.81927665682722906</v>
      </c>
    </row>
    <row r="52" spans="1:9" ht="18.75">
      <c r="A52" s="6">
        <v>420</v>
      </c>
      <c r="B52" s="6">
        <f t="shared" si="12"/>
        <v>0.99996136029760974</v>
      </c>
      <c r="C52" s="6">
        <f t="shared" si="12"/>
        <v>0.89440560010146153</v>
      </c>
      <c r="D52" s="6">
        <f t="shared" si="12"/>
        <v>0.70402677670146352</v>
      </c>
      <c r="E52" s="6">
        <f t="shared" si="7"/>
        <v>3.8639702390264041E-5</v>
      </c>
      <c r="F52" s="6">
        <f t="shared" si="8"/>
        <v>0.10555576019614821</v>
      </c>
      <c r="G52" s="6">
        <f t="shared" si="9"/>
        <v>0.19037882339999801</v>
      </c>
      <c r="H52" s="6">
        <f t="shared" si="10"/>
        <v>0.70402677670146352</v>
      </c>
      <c r="I52" s="12">
        <f t="shared" si="11"/>
        <v>0.8256051284504996</v>
      </c>
    </row>
    <row r="53" spans="1:9" ht="18.75">
      <c r="A53" s="6">
        <v>430</v>
      </c>
      <c r="B53" s="6">
        <f t="shared" si="12"/>
        <v>0.99996564320763937</v>
      </c>
      <c r="C53" s="6">
        <f t="shared" si="12"/>
        <v>0.89943093720190348</v>
      </c>
      <c r="D53" s="6">
        <f t="shared" si="12"/>
        <v>0.71363314576108516</v>
      </c>
      <c r="E53" s="6">
        <f t="shared" si="7"/>
        <v>3.4356792360634714E-5</v>
      </c>
      <c r="F53" s="6">
        <f t="shared" si="8"/>
        <v>0.10053470600573589</v>
      </c>
      <c r="G53" s="6">
        <f t="shared" si="9"/>
        <v>0.18579779144081832</v>
      </c>
      <c r="H53" s="6">
        <f t="shared" si="10"/>
        <v>0.71363314576108516</v>
      </c>
      <c r="I53" s="12">
        <f t="shared" si="11"/>
        <v>0.83166571798292832</v>
      </c>
    </row>
    <row r="54" spans="1:9" ht="18.75">
      <c r="A54" s="6">
        <v>440</v>
      </c>
      <c r="B54" s="6">
        <f t="shared" si="12"/>
        <v>0.99996939088304004</v>
      </c>
      <c r="C54" s="6">
        <f t="shared" si="12"/>
        <v>0.90417001316518064</v>
      </c>
      <c r="D54" s="6">
        <f t="shared" si="12"/>
        <v>0.72287327218281228</v>
      </c>
      <c r="E54" s="6">
        <f t="shared" si="7"/>
        <v>3.0609116959956495E-5</v>
      </c>
      <c r="F54" s="6">
        <f t="shared" si="8"/>
        <v>9.5799377717859402E-2</v>
      </c>
      <c r="G54" s="6">
        <f t="shared" si="9"/>
        <v>0.18129674098236837</v>
      </c>
      <c r="H54" s="6">
        <f t="shared" si="10"/>
        <v>0.72287327218281228</v>
      </c>
      <c r="I54" s="12">
        <f t="shared" si="11"/>
        <v>0.83747148710346131</v>
      </c>
    </row>
    <row r="55" spans="1:9" ht="18.75">
      <c r="A55" s="6">
        <v>450</v>
      </c>
      <c r="B55" s="6">
        <f t="shared" si="12"/>
        <v>0.99997267774546228</v>
      </c>
      <c r="C55" s="6">
        <f t="shared" si="12"/>
        <v>0.90864178299872478</v>
      </c>
      <c r="D55" s="6">
        <f t="shared" si="12"/>
        <v>0.73176238813484007</v>
      </c>
      <c r="E55" s="6">
        <f t="shared" si="7"/>
        <v>2.7322254537720525E-5</v>
      </c>
      <c r="F55" s="6">
        <f t="shared" si="8"/>
        <v>9.1330894746737501E-2</v>
      </c>
      <c r="G55" s="6">
        <f t="shared" si="9"/>
        <v>0.17687939486388471</v>
      </c>
      <c r="H55" s="6">
        <f t="shared" si="10"/>
        <v>0.73176238813484007</v>
      </c>
      <c r="I55" s="12">
        <f t="shared" si="11"/>
        <v>0.84303480925346674</v>
      </c>
    </row>
    <row r="56" spans="1:9" ht="18.75">
      <c r="A56" s="6">
        <v>460</v>
      </c>
      <c r="B56" s="6">
        <f t="shared" si="12"/>
        <v>0.99997556683085009</v>
      </c>
      <c r="C56" s="6">
        <f t="shared" si="12"/>
        <v>0.91286378222136544</v>
      </c>
      <c r="D56" s="6">
        <f t="shared" si="12"/>
        <v>0.74031513381053682</v>
      </c>
      <c r="E56" s="6">
        <f t="shared" si="7"/>
        <v>2.4433169149906675E-5</v>
      </c>
      <c r="F56" s="6">
        <f t="shared" si="8"/>
        <v>8.7111784609484655E-2</v>
      </c>
      <c r="G56" s="6">
        <f t="shared" si="9"/>
        <v>0.17254864841082862</v>
      </c>
      <c r="H56" s="6">
        <f t="shared" si="10"/>
        <v>0.74031513381053682</v>
      </c>
      <c r="I56" s="12">
        <f t="shared" si="11"/>
        <v>0.84836740416832224</v>
      </c>
    </row>
    <row r="57" spans="1:9" ht="18.75">
      <c r="A57" s="6">
        <v>470</v>
      </c>
      <c r="B57" s="6">
        <f t="shared" si="12"/>
        <v>0.99997811168795381</v>
      </c>
      <c r="C57" s="6">
        <f t="shared" si="12"/>
        <v>0.91685224373803731</v>
      </c>
      <c r="D57" s="6">
        <f t="shared" si="12"/>
        <v>0.74854556529369165</v>
      </c>
      <c r="E57" s="6">
        <f t="shared" si="7"/>
        <v>2.1888312046192127E-5</v>
      </c>
      <c r="F57" s="6">
        <f t="shared" si="8"/>
        <v>8.3125867949916499E-2</v>
      </c>
      <c r="G57" s="6">
        <f t="shared" si="9"/>
        <v>0.16830667844434566</v>
      </c>
      <c r="H57" s="6">
        <f t="shared" si="10"/>
        <v>0.74854556529369165</v>
      </c>
      <c r="I57" s="12">
        <f t="shared" si="11"/>
        <v>0.85348037150334366</v>
      </c>
    </row>
    <row r="58" spans="1:9" ht="18.75">
      <c r="A58" s="6">
        <v>480</v>
      </c>
      <c r="B58" s="6">
        <f t="shared" si="12"/>
        <v>0.99998035793459539</v>
      </c>
      <c r="C58" s="6">
        <f t="shared" si="12"/>
        <v>0.92062220448989562</v>
      </c>
      <c r="D58" s="6">
        <f t="shared" si="12"/>
        <v>0.75646716553518434</v>
      </c>
      <c r="E58" s="6">
        <f t="shared" si="7"/>
        <v>1.9642065404612552E-5</v>
      </c>
      <c r="F58" s="6">
        <f t="shared" si="8"/>
        <v>7.9358153444699764E-2</v>
      </c>
      <c r="G58" s="6">
        <f t="shared" si="9"/>
        <v>0.16415503895471129</v>
      </c>
      <c r="H58" s="6">
        <f t="shared" si="10"/>
        <v>0.75646716553518434</v>
      </c>
      <c r="I58" s="12">
        <f t="shared" si="11"/>
        <v>0.85838422337371489</v>
      </c>
    </row>
    <row r="59" spans="1:9" ht="18.75">
      <c r="A59" s="6">
        <v>490</v>
      </c>
      <c r="B59" s="6">
        <f t="shared" si="12"/>
        <v>0.99998234453792223</v>
      </c>
      <c r="C59" s="6">
        <f t="shared" si="12"/>
        <v>0.92418760278065959</v>
      </c>
      <c r="D59" s="6">
        <f t="shared" si="12"/>
        <v>0.76409285771089641</v>
      </c>
      <c r="E59" s="6">
        <f t="shared" si="7"/>
        <v>1.7655462077770245E-5</v>
      </c>
      <c r="F59" s="6">
        <f t="shared" si="8"/>
        <v>7.579474175726264E-2</v>
      </c>
      <c r="G59" s="6">
        <f t="shared" si="9"/>
        <v>0.16009474506976318</v>
      </c>
      <c r="H59" s="6">
        <f t="shared" si="10"/>
        <v>0.76409285771089641</v>
      </c>
      <c r="I59" s="12">
        <f t="shared" si="11"/>
        <v>0.86308891568509361</v>
      </c>
    </row>
    <row r="60" spans="1:9" ht="18.75">
      <c r="A60" s="6">
        <v>500</v>
      </c>
      <c r="B60" s="6">
        <f t="shared" si="12"/>
        <v>0.99998410487121048</v>
      </c>
      <c r="C60" s="6">
        <f t="shared" si="12"/>
        <v>0.9275613671095182</v>
      </c>
      <c r="D60" s="6">
        <f t="shared" si="12"/>
        <v>0.77143502036199252</v>
      </c>
      <c r="E60" s="6">
        <f t="shared" si="7"/>
        <v>1.5895128789522595E-5</v>
      </c>
      <c r="F60" s="6">
        <f t="shared" si="8"/>
        <v>7.242273776169228E-2</v>
      </c>
      <c r="G60" s="6">
        <f t="shared" si="9"/>
        <v>0.15612634674752568</v>
      </c>
      <c r="H60" s="6">
        <f t="shared" si="10"/>
        <v>0.77143502036199252</v>
      </c>
      <c r="I60" s="12">
        <f t="shared" si="11"/>
        <v>0.86760387817617846</v>
      </c>
    </row>
    <row r="61" spans="1:9" ht="18.75">
      <c r="A61" s="6">
        <v>510</v>
      </c>
      <c r="B61" s="6">
        <f t="shared" si="12"/>
        <v>0.99998566758909413</v>
      </c>
      <c r="C61" s="6">
        <f t="shared" si="12"/>
        <v>0.93075549727281448</v>
      </c>
      <c r="D61" s="6">
        <f t="shared" si="12"/>
        <v>0.77850550382749306</v>
      </c>
      <c r="E61" s="6">
        <f t="shared" si="7"/>
        <v>1.4332410905870674E-5</v>
      </c>
      <c r="F61" s="6">
        <f t="shared" si="8"/>
        <v>6.9230170316279649E-2</v>
      </c>
      <c r="G61" s="6">
        <f t="shared" si="9"/>
        <v>0.15224999344532142</v>
      </c>
      <c r="H61" s="6">
        <f t="shared" si="10"/>
        <v>0.77850550382749306</v>
      </c>
      <c r="I61" s="12">
        <f t="shared" si="11"/>
        <v>0.87193804312922363</v>
      </c>
    </row>
    <row r="62" spans="1:9" ht="18.75">
      <c r="A62" s="6">
        <v>520</v>
      </c>
      <c r="B62" s="6">
        <f t="shared" si="12"/>
        <v>0.99998705735472071</v>
      </c>
      <c r="C62" s="6">
        <f t="shared" si="12"/>
        <v>0.93378113843196453</v>
      </c>
      <c r="D62" s="6">
        <f t="shared" si="12"/>
        <v>0.78531564756925654</v>
      </c>
      <c r="E62" s="6">
        <f t="shared" si="7"/>
        <v>1.2942645279290232E-5</v>
      </c>
      <c r="F62" s="6">
        <f t="shared" si="8"/>
        <v>6.620591892275618E-2</v>
      </c>
      <c r="G62" s="6">
        <f t="shared" si="9"/>
        <v>0.14846549086270799</v>
      </c>
      <c r="H62" s="6">
        <f t="shared" si="10"/>
        <v>0.78531564756925654</v>
      </c>
      <c r="I62" s="12">
        <f t="shared" si="11"/>
        <v>0.87609987273129963</v>
      </c>
    </row>
    <row r="63" spans="1:9" ht="18.75">
      <c r="A63" s="6">
        <v>530</v>
      </c>
      <c r="B63" s="6">
        <f t="shared" si="12"/>
        <v>0.99998829544573697</v>
      </c>
      <c r="C63" s="6">
        <f t="shared" si="12"/>
        <v>0.93664864878419229</v>
      </c>
      <c r="D63" s="6">
        <f t="shared" si="12"/>
        <v>0.79187629806423809</v>
      </c>
      <c r="E63" s="6">
        <f t="shared" si="7"/>
        <v>1.1704554263025635E-5</v>
      </c>
      <c r="F63" s="6">
        <f t="shared" si="8"/>
        <v>6.333964666154468E-2</v>
      </c>
      <c r="G63" s="6">
        <f t="shared" si="9"/>
        <v>0.1447723507199542</v>
      </c>
      <c r="H63" s="6">
        <f t="shared" si="10"/>
        <v>0.79187629806423809</v>
      </c>
      <c r="I63" s="12">
        <f t="shared" si="11"/>
        <v>0.88009738508960134</v>
      </c>
    </row>
    <row r="64" spans="1:9" ht="18.75">
      <c r="A64" s="6">
        <v>540</v>
      </c>
      <c r="B64" s="6">
        <f t="shared" si="12"/>
        <v>0.99998940026078842</v>
      </c>
      <c r="C64" s="6">
        <f t="shared" si="12"/>
        <v>0.93936766141598049</v>
      </c>
      <c r="D64" s="6">
        <f t="shared" si="12"/>
        <v>0.79819782700085917</v>
      </c>
      <c r="E64" s="6">
        <f t="shared" si="7"/>
        <v>1.0599739211580861E-5</v>
      </c>
      <c r="F64" s="6">
        <f t="shared" si="8"/>
        <v>6.0621738844807926E-2</v>
      </c>
      <c r="G64" s="6">
        <f t="shared" si="9"/>
        <v>0.14116983441512132</v>
      </c>
      <c r="H64" s="6">
        <f t="shared" si="10"/>
        <v>0.79819782700085917</v>
      </c>
      <c r="I64" s="12">
        <f t="shared" si="11"/>
        <v>0.88393817891962179</v>
      </c>
    </row>
    <row r="65" spans="1:9" ht="18.75">
      <c r="A65" s="6">
        <v>550</v>
      </c>
      <c r="B65" s="6">
        <f t="shared" si="12"/>
        <v>0.99999038774407578</v>
      </c>
      <c r="C65" s="6">
        <f t="shared" si="12"/>
        <v>0.94194714086669074</v>
      </c>
      <c r="D65" s="6">
        <f t="shared" si="12"/>
        <v>0.80429014956765532</v>
      </c>
      <c r="E65" s="6">
        <f t="shared" si="7"/>
        <v>9.612255924218438E-6</v>
      </c>
      <c r="F65" s="6">
        <f t="shared" si="8"/>
        <v>5.8043246877385046E-2</v>
      </c>
      <c r="G65" s="6">
        <f t="shared" si="9"/>
        <v>0.13765699129903541</v>
      </c>
      <c r="H65" s="6">
        <f t="shared" si="10"/>
        <v>0.80429014956765532</v>
      </c>
      <c r="I65" s="12">
        <f t="shared" si="11"/>
        <v>0.88762945693651929</v>
      </c>
    </row>
    <row r="66" spans="1:9" ht="18.75">
      <c r="A66" s="6">
        <v>560</v>
      </c>
      <c r="B66" s="6">
        <f t="shared" si="12"/>
        <v>0.99999127174220703</v>
      </c>
      <c r="C66" s="6">
        <f t="shared" si="12"/>
        <v>0.94439543488156641</v>
      </c>
      <c r="D66" s="6">
        <f t="shared" si="12"/>
        <v>0.81016274266488975</v>
      </c>
      <c r="E66" s="6">
        <f t="shared" si="7"/>
        <v>8.7282577929670424E-6</v>
      </c>
      <c r="F66" s="6">
        <f t="shared" si="8"/>
        <v>5.5595836860640624E-2</v>
      </c>
      <c r="G66" s="6">
        <f t="shared" si="9"/>
        <v>0.13423269221667666</v>
      </c>
      <c r="H66" s="6">
        <f t="shared" si="10"/>
        <v>0.81016274266488975</v>
      </c>
      <c r="I66" s="12">
        <f t="shared" si="11"/>
        <v>0.89117804798838818</v>
      </c>
    </row>
    <row r="67" spans="1:9" ht="18.75">
      <c r="A67" s="6">
        <v>570</v>
      </c>
      <c r="B67" s="6">
        <f t="shared" si="12"/>
        <v>0.99999206430494225</v>
      </c>
      <c r="C67" s="6">
        <f t="shared" si="12"/>
        <v>0.94672032178911514</v>
      </c>
      <c r="D67" s="6">
        <f t="shared" si="12"/>
        <v>0.815824662904995</v>
      </c>
      <c r="E67" s="6">
        <f t="shared" si="7"/>
        <v>7.935695057748049E-6</v>
      </c>
      <c r="F67" s="6">
        <f t="shared" si="8"/>
        <v>5.3271742515827114E-2</v>
      </c>
      <c r="G67" s="6">
        <f t="shared" si="9"/>
        <v>0.13089565888412014</v>
      </c>
      <c r="H67" s="6">
        <f t="shared" si="10"/>
        <v>0.815824662904995</v>
      </c>
      <c r="I67" s="12">
        <f t="shared" si="11"/>
        <v>0.89459042797601185</v>
      </c>
    </row>
    <row r="68" spans="1:9" ht="18.75">
      <c r="A68" s="6">
        <v>580</v>
      </c>
      <c r="B68" s="6">
        <f t="shared" si="12"/>
        <v>0.99999277593930724</v>
      </c>
      <c r="C68" s="6">
        <f t="shared" si="12"/>
        <v>0.94892905389750015</v>
      </c>
      <c r="D68" s="6">
        <f t="shared" si="12"/>
        <v>0.82128456429678454</v>
      </c>
      <c r="E68" s="6">
        <f t="shared" si="7"/>
        <v>7.2240606927564954E-6</v>
      </c>
      <c r="F68" s="6">
        <f t="shared" si="8"/>
        <v>5.1063722041807091E-2</v>
      </c>
      <c r="G68" s="6">
        <f t="shared" si="9"/>
        <v>0.12764448960071562</v>
      </c>
      <c r="H68" s="6">
        <f t="shared" si="10"/>
        <v>0.82128456429678454</v>
      </c>
      <c r="I68" s="12">
        <f t="shared" si="11"/>
        <v>0.89787273960759406</v>
      </c>
    </row>
    <row r="69" spans="1:9" ht="18.75">
      <c r="A69" s="6">
        <v>590</v>
      </c>
      <c r="B69" s="6">
        <f t="shared" si="12"/>
        <v>0.99999341582484347</v>
      </c>
      <c r="C69" s="6">
        <f t="shared" si="12"/>
        <v>0.95102839726779842</v>
      </c>
      <c r="D69" s="6">
        <f t="shared" si="12"/>
        <v>0.8265507155323798</v>
      </c>
      <c r="E69" s="6">
        <f t="shared" si="7"/>
        <v>6.5841751565320905E-6</v>
      </c>
      <c r="F69" s="6">
        <f t="shared" si="8"/>
        <v>4.8965018557045048E-2</v>
      </c>
      <c r="G69" s="6">
        <f t="shared" si="9"/>
        <v>0.12447768173541862</v>
      </c>
      <c r="H69" s="6">
        <f t="shared" si="10"/>
        <v>0.8265507155323798</v>
      </c>
      <c r="I69" s="12">
        <f t="shared" si="11"/>
        <v>0.90103081103935034</v>
      </c>
    </row>
    <row r="70" spans="1:9" ht="18.75">
      <c r="A70" s="6">
        <v>600</v>
      </c>
      <c r="B70" s="6">
        <f t="shared" ref="B70:D89" si="13">IF($A70&lt;=0,0,_xlfn.NORM.S.DIST((LN($A70)-C$5)/$B$6,TRUE()))</f>
        <v>0.99999399199637851</v>
      </c>
      <c r="C70" s="6">
        <f t="shared" si="13"/>
        <v>0.95302466818854903</v>
      </c>
      <c r="D70" s="6">
        <f t="shared" si="13"/>
        <v>0.83163101681555673</v>
      </c>
      <c r="E70" s="6">
        <f t="shared" si="7"/>
        <v>6.0080036214937849E-6</v>
      </c>
      <c r="F70" s="6">
        <f t="shared" si="8"/>
        <v>4.6969323807829477E-2</v>
      </c>
      <c r="G70" s="6">
        <f t="shared" si="9"/>
        <v>0.1213936513729923</v>
      </c>
      <c r="H70" s="6">
        <f t="shared" si="10"/>
        <v>0.83163101681555673</v>
      </c>
      <c r="I70" s="12">
        <f t="shared" si="11"/>
        <v>0.9040701734540102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0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ColWidth="8.7109375" defaultRowHeight="15"/>
  <cols>
    <col min="1" max="1" width="12" customWidth="1"/>
    <col min="2" max="14" width="15" customWidth="1"/>
  </cols>
  <sheetData>
    <row r="1" spans="1:13">
      <c r="A1" s="1" t="s">
        <v>47</v>
      </c>
    </row>
    <row r="3" spans="1:13">
      <c r="A3" s="6" t="s">
        <v>21</v>
      </c>
      <c r="B3" s="5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</row>
    <row r="4" spans="1:13" ht="18.75">
      <c r="A4" s="6" t="s">
        <v>35</v>
      </c>
      <c r="B4" s="8">
        <f>データ!$E$20</f>
        <v>0</v>
      </c>
      <c r="C4" s="8">
        <f>データ!$E$21</f>
        <v>0.25</v>
      </c>
      <c r="D4" s="8">
        <f>データ!$E$22</f>
        <v>0.5</v>
      </c>
      <c r="E4" s="8">
        <f>データ!$E$23</f>
        <v>0.75</v>
      </c>
      <c r="F4" s="8">
        <f>データ!$E$24</f>
        <v>0.9</v>
      </c>
      <c r="G4" s="8">
        <f>データ!$E$25</f>
        <v>1</v>
      </c>
    </row>
    <row r="5" spans="1:13" ht="18.75">
      <c r="A5" s="4" t="s">
        <v>36</v>
      </c>
      <c r="C5" s="10">
        <f>データ!$E$5</f>
        <v>2.27</v>
      </c>
      <c r="D5" s="10">
        <f>データ!$E$6</f>
        <v>4.76</v>
      </c>
      <c r="E5" s="10">
        <f>データ!$E$7</f>
        <v>5.73</v>
      </c>
      <c r="F5" s="10">
        <f>データ!$E$8</f>
        <v>6.3</v>
      </c>
      <c r="G5" s="10">
        <f>データ!$E$9</f>
        <v>7.22</v>
      </c>
    </row>
    <row r="6" spans="1:13" ht="18.75">
      <c r="A6" s="4" t="s">
        <v>14</v>
      </c>
      <c r="B6" s="10">
        <f>データ!$E$10</f>
        <v>1.27</v>
      </c>
    </row>
    <row r="7" spans="1:13" ht="18.75">
      <c r="A7" s="11"/>
    </row>
    <row r="9" spans="1:13" ht="37.5">
      <c r="A9" s="5" t="s">
        <v>37</v>
      </c>
      <c r="B9" s="5" t="s">
        <v>38</v>
      </c>
      <c r="C9" s="5" t="s">
        <v>39</v>
      </c>
      <c r="D9" s="5" t="s">
        <v>40</v>
      </c>
      <c r="E9" s="5" t="s">
        <v>48</v>
      </c>
      <c r="F9" s="5" t="s">
        <v>49</v>
      </c>
      <c r="G9" s="5" t="s">
        <v>41</v>
      </c>
      <c r="H9" s="5" t="s">
        <v>42</v>
      </c>
      <c r="I9" s="5" t="s">
        <v>43</v>
      </c>
      <c r="J9" s="5" t="s">
        <v>44</v>
      </c>
      <c r="K9" s="5" t="s">
        <v>50</v>
      </c>
      <c r="L9" s="5" t="s">
        <v>51</v>
      </c>
      <c r="M9" s="5" t="s">
        <v>35</v>
      </c>
    </row>
    <row r="10" spans="1:13" ht="18.75">
      <c r="A10" s="6">
        <v>0</v>
      </c>
      <c r="B10" s="6">
        <f t="shared" ref="B10:F19" si="0">IF($A10&lt;=0,0,_xlfn.NORM.S.DIST((LN($A10)-C$5)/$B$6,TRUE()))</f>
        <v>0</v>
      </c>
      <c r="C10" s="6">
        <f t="shared" si="0"/>
        <v>0</v>
      </c>
      <c r="D10" s="6">
        <f t="shared" si="0"/>
        <v>0</v>
      </c>
      <c r="E10" s="6">
        <f t="shared" si="0"/>
        <v>0</v>
      </c>
      <c r="F10" s="6">
        <f t="shared" si="0"/>
        <v>0</v>
      </c>
      <c r="G10" s="6">
        <f t="shared" ref="G10:G41" si="1">1-B10</f>
        <v>1</v>
      </c>
      <c r="H10" s="6">
        <f t="shared" ref="H10:H41" si="2">B10-C10</f>
        <v>0</v>
      </c>
      <c r="I10" s="6">
        <f t="shared" ref="I10:I41" si="3">C10-D10</f>
        <v>0</v>
      </c>
      <c r="J10" s="6">
        <f t="shared" ref="J10:J41" si="4">D10-E10</f>
        <v>0</v>
      </c>
      <c r="K10" s="6">
        <f t="shared" ref="K10:K41" si="5">E10-F10</f>
        <v>0</v>
      </c>
      <c r="L10" s="6">
        <f t="shared" ref="L10:L41" si="6">F10</f>
        <v>0</v>
      </c>
      <c r="M10" s="12">
        <f t="shared" ref="M10:M41" si="7">G10*$B$4+H10*$C$4+I10*$D$4+J10*$E$4+K10*$F$4+L10*$G$4</f>
        <v>0</v>
      </c>
    </row>
    <row r="11" spans="1:13" ht="18.75">
      <c r="A11" s="6">
        <v>10</v>
      </c>
      <c r="B11" s="6">
        <f t="shared" si="0"/>
        <v>0.510234759965003</v>
      </c>
      <c r="C11" s="6">
        <f t="shared" si="0"/>
        <v>2.6496843312010035E-2</v>
      </c>
      <c r="D11" s="6">
        <f t="shared" si="0"/>
        <v>3.480002157270548E-3</v>
      </c>
      <c r="E11" s="6">
        <f t="shared" si="0"/>
        <v>8.2316617506713197E-4</v>
      </c>
      <c r="F11" s="6">
        <f t="shared" si="0"/>
        <v>5.3977352563762407E-5</v>
      </c>
      <c r="G11" s="6">
        <f t="shared" si="1"/>
        <v>0.489765240034997</v>
      </c>
      <c r="H11" s="6">
        <f t="shared" si="2"/>
        <v>0.48373791665299298</v>
      </c>
      <c r="I11" s="6">
        <f t="shared" si="3"/>
        <v>2.3016841154739488E-2</v>
      </c>
      <c r="J11" s="6">
        <f t="shared" si="4"/>
        <v>2.656835982203416E-3</v>
      </c>
      <c r="K11" s="6">
        <f t="shared" si="5"/>
        <v>7.6918882250336953E-4</v>
      </c>
      <c r="L11" s="6">
        <f t="shared" si="6"/>
        <v>5.3977352563762407E-5</v>
      </c>
      <c r="M11" s="12">
        <f t="shared" si="7"/>
        <v>0.13518177402008735</v>
      </c>
    </row>
    <row r="12" spans="1:13" ht="18.75">
      <c r="A12" s="6">
        <v>20</v>
      </c>
      <c r="B12" s="6">
        <f t="shared" si="0"/>
        <v>0.71615021620658914</v>
      </c>
      <c r="C12" s="6">
        <f t="shared" si="0"/>
        <v>8.2387918578632424E-2</v>
      </c>
      <c r="D12" s="6">
        <f t="shared" si="0"/>
        <v>1.5660647318869139E-2</v>
      </c>
      <c r="E12" s="6">
        <f t="shared" si="0"/>
        <v>4.6369903456313002E-3</v>
      </c>
      <c r="F12" s="6">
        <f t="shared" si="0"/>
        <v>4.402014696979757E-4</v>
      </c>
      <c r="G12" s="6">
        <f t="shared" si="1"/>
        <v>0.28384978379341086</v>
      </c>
      <c r="H12" s="6">
        <f t="shared" si="2"/>
        <v>0.63376229762795666</v>
      </c>
      <c r="I12" s="6">
        <f t="shared" si="3"/>
        <v>6.6727271259763285E-2</v>
      </c>
      <c r="J12" s="6">
        <f t="shared" si="4"/>
        <v>1.1023656973237839E-2</v>
      </c>
      <c r="K12" s="6">
        <f t="shared" si="5"/>
        <v>4.196788875933324E-3</v>
      </c>
      <c r="L12" s="6">
        <f t="shared" si="6"/>
        <v>4.402014696979757E-4</v>
      </c>
      <c r="M12" s="12">
        <f t="shared" si="7"/>
        <v>0.20428926422483717</v>
      </c>
    </row>
    <row r="13" spans="1:13" ht="18.75">
      <c r="A13" s="6">
        <v>30</v>
      </c>
      <c r="B13" s="6">
        <f t="shared" si="0"/>
        <v>0.81345670336965836</v>
      </c>
      <c r="C13" s="6">
        <f t="shared" si="0"/>
        <v>0.14232691231631298</v>
      </c>
      <c r="D13" s="6">
        <f t="shared" si="0"/>
        <v>3.334905773892613E-2</v>
      </c>
      <c r="E13" s="6">
        <f t="shared" si="0"/>
        <v>1.1229277534670736E-2</v>
      </c>
      <c r="F13" s="6">
        <f t="shared" si="0"/>
        <v>1.3194974324585286E-3</v>
      </c>
      <c r="G13" s="6">
        <f t="shared" si="1"/>
        <v>0.18654329663034164</v>
      </c>
      <c r="H13" s="6">
        <f t="shared" si="2"/>
        <v>0.67112979105334536</v>
      </c>
      <c r="I13" s="6">
        <f t="shared" si="3"/>
        <v>0.10897785457738685</v>
      </c>
      <c r="J13" s="6">
        <f t="shared" si="4"/>
        <v>2.2119780204255396E-2</v>
      </c>
      <c r="K13" s="6">
        <f t="shared" si="5"/>
        <v>9.9097801022122074E-3</v>
      </c>
      <c r="L13" s="6">
        <f t="shared" si="6"/>
        <v>1.3194974324585286E-3</v>
      </c>
      <c r="M13" s="12">
        <f t="shared" si="7"/>
        <v>0.24909950972967082</v>
      </c>
    </row>
    <row r="14" spans="1:13" ht="18.75">
      <c r="A14" s="6">
        <v>40</v>
      </c>
      <c r="B14" s="6">
        <f t="shared" si="0"/>
        <v>0.86805155642807375</v>
      </c>
      <c r="C14" s="6">
        <f t="shared" si="0"/>
        <v>0.19950182558603288</v>
      </c>
      <c r="D14" s="6">
        <f t="shared" si="0"/>
        <v>5.4007276004970149E-2</v>
      </c>
      <c r="E14" s="6">
        <f t="shared" si="0"/>
        <v>1.9891237385405609E-2</v>
      </c>
      <c r="F14" s="6">
        <f t="shared" si="0"/>
        <v>2.714516319655465E-3</v>
      </c>
      <c r="G14" s="6">
        <f t="shared" si="1"/>
        <v>0.13194844357192625</v>
      </c>
      <c r="H14" s="6">
        <f t="shared" si="2"/>
        <v>0.66854973084204083</v>
      </c>
      <c r="I14" s="6">
        <f t="shared" si="3"/>
        <v>0.14549454958106273</v>
      </c>
      <c r="J14" s="6">
        <f t="shared" si="4"/>
        <v>3.411603861956454E-2</v>
      </c>
      <c r="K14" s="6">
        <f t="shared" si="5"/>
        <v>1.7176721065750144E-2</v>
      </c>
      <c r="L14" s="6">
        <f t="shared" si="6"/>
        <v>2.714516319655465E-3</v>
      </c>
      <c r="M14" s="12">
        <f t="shared" si="7"/>
        <v>0.28364530174454555</v>
      </c>
    </row>
    <row r="15" spans="1:13" ht="18.75">
      <c r="A15" s="6">
        <v>50</v>
      </c>
      <c r="B15" s="6">
        <f t="shared" si="0"/>
        <v>0.90198262421530551</v>
      </c>
      <c r="C15" s="6">
        <f t="shared" si="0"/>
        <v>0.25216305909269288</v>
      </c>
      <c r="D15" s="6">
        <f t="shared" si="0"/>
        <v>7.6146641248423214E-2</v>
      </c>
      <c r="E15" s="6">
        <f t="shared" si="0"/>
        <v>3.0033816451645996E-2</v>
      </c>
      <c r="F15" s="6">
        <f t="shared" si="0"/>
        <v>4.597652315500007E-3</v>
      </c>
      <c r="G15" s="6">
        <f t="shared" si="1"/>
        <v>9.8017375784694494E-2</v>
      </c>
      <c r="H15" s="6">
        <f t="shared" si="2"/>
        <v>0.64981956512261263</v>
      </c>
      <c r="I15" s="6">
        <f t="shared" si="3"/>
        <v>0.17601641784426966</v>
      </c>
      <c r="J15" s="6">
        <f t="shared" si="4"/>
        <v>4.6112824796777217E-2</v>
      </c>
      <c r="K15" s="6">
        <f t="shared" si="5"/>
        <v>2.5436164136145988E-2</v>
      </c>
      <c r="L15" s="6">
        <f t="shared" si="6"/>
        <v>4.597652315500007E-3</v>
      </c>
      <c r="M15" s="12">
        <f t="shared" si="7"/>
        <v>0.31253791883840237</v>
      </c>
    </row>
    <row r="16" spans="1:13" ht="18.75">
      <c r="A16" s="6">
        <v>60</v>
      </c>
      <c r="B16" s="6">
        <f t="shared" si="0"/>
        <v>0.92456877333205512</v>
      </c>
      <c r="C16" s="6">
        <f t="shared" si="0"/>
        <v>0.30009123133379967</v>
      </c>
      <c r="D16" s="6">
        <f t="shared" si="0"/>
        <v>9.8887312345831507E-2</v>
      </c>
      <c r="E16" s="6">
        <f t="shared" si="0"/>
        <v>4.1216840238950274E-2</v>
      </c>
      <c r="F16" s="6">
        <f t="shared" si="0"/>
        <v>6.9246994684965518E-3</v>
      </c>
      <c r="G16" s="6">
        <f t="shared" si="1"/>
        <v>7.5431226667944884E-2</v>
      </c>
      <c r="H16" s="6">
        <f t="shared" si="2"/>
        <v>0.62447754199825545</v>
      </c>
      <c r="I16" s="6">
        <f t="shared" si="3"/>
        <v>0.20120391898796816</v>
      </c>
      <c r="J16" s="6">
        <f t="shared" si="4"/>
        <v>5.7670472106881233E-2</v>
      </c>
      <c r="K16" s="6">
        <f t="shared" si="5"/>
        <v>3.429214077045372E-2</v>
      </c>
      <c r="L16" s="6">
        <f t="shared" si="6"/>
        <v>6.9246994684965518E-3</v>
      </c>
      <c r="M16" s="12">
        <f t="shared" si="7"/>
        <v>0.33776182523561377</v>
      </c>
    </row>
    <row r="17" spans="1:13" ht="18.75">
      <c r="A17" s="6">
        <v>70</v>
      </c>
      <c r="B17" s="6">
        <f t="shared" si="0"/>
        <v>0.94036799789025871</v>
      </c>
      <c r="C17" s="6">
        <f t="shared" si="0"/>
        <v>0.34356252299433687</v>
      </c>
      <c r="D17" s="6">
        <f t="shared" si="0"/>
        <v>0.12169825873191237</v>
      </c>
      <c r="E17" s="6">
        <f t="shared" si="0"/>
        <v>5.3116586682987875E-2</v>
      </c>
      <c r="F17" s="6">
        <f t="shared" si="0"/>
        <v>9.6478732620023135E-3</v>
      </c>
      <c r="G17" s="6">
        <f t="shared" si="1"/>
        <v>5.9632002109741289E-2</v>
      </c>
      <c r="H17" s="6">
        <f t="shared" si="2"/>
        <v>0.59680547489592184</v>
      </c>
      <c r="I17" s="6">
        <f t="shared" si="3"/>
        <v>0.2218642642624245</v>
      </c>
      <c r="J17" s="6">
        <f t="shared" si="4"/>
        <v>6.8581672048924486E-2</v>
      </c>
      <c r="K17" s="6">
        <f t="shared" si="5"/>
        <v>4.3468713420985558E-2</v>
      </c>
      <c r="L17" s="6">
        <f t="shared" si="6"/>
        <v>9.6478732620023135E-3</v>
      </c>
      <c r="M17" s="12">
        <f t="shared" si="7"/>
        <v>0.36033947023277546</v>
      </c>
    </row>
    <row r="18" spans="1:13" ht="18.75">
      <c r="A18" s="6">
        <v>80</v>
      </c>
      <c r="B18" s="6">
        <f t="shared" si="0"/>
        <v>0.9518450931853677</v>
      </c>
      <c r="C18" s="6">
        <f t="shared" si="0"/>
        <v>0.38299781657833554</v>
      </c>
      <c r="D18" s="6">
        <f t="shared" si="0"/>
        <v>0.14425490734699953</v>
      </c>
      <c r="E18" s="6">
        <f t="shared" si="0"/>
        <v>6.5494254539839356E-2</v>
      </c>
      <c r="F18" s="6">
        <f t="shared" si="0"/>
        <v>1.2720999028086665E-2</v>
      </c>
      <c r="G18" s="6">
        <f t="shared" si="1"/>
        <v>4.8154906814632303E-2</v>
      </c>
      <c r="H18" s="6">
        <f t="shared" si="2"/>
        <v>0.56884727660703216</v>
      </c>
      <c r="I18" s="6">
        <f t="shared" si="3"/>
        <v>0.23874290923133601</v>
      </c>
      <c r="J18" s="6">
        <f t="shared" si="4"/>
        <v>7.8760652807160172E-2</v>
      </c>
      <c r="K18" s="6">
        <f t="shared" si="5"/>
        <v>5.2773255511752687E-2</v>
      </c>
      <c r="L18" s="6">
        <f t="shared" si="6"/>
        <v>1.2720999028086665E-2</v>
      </c>
      <c r="M18" s="12">
        <f t="shared" si="7"/>
        <v>0.38087069236146032</v>
      </c>
    </row>
    <row r="19" spans="1:13" ht="18.75">
      <c r="A19" s="6">
        <v>90</v>
      </c>
      <c r="B19" s="6">
        <f t="shared" si="0"/>
        <v>0.96043492960959909</v>
      </c>
      <c r="C19" s="6">
        <f t="shared" si="0"/>
        <v>0.41883517710574103</v>
      </c>
      <c r="D19" s="6">
        <f t="shared" si="0"/>
        <v>0.16635897465914873</v>
      </c>
      <c r="E19" s="6">
        <f t="shared" si="0"/>
        <v>7.8172385198255853E-2</v>
      </c>
      <c r="F19" s="6">
        <f t="shared" si="0"/>
        <v>1.6101483323528679E-2</v>
      </c>
      <c r="G19" s="6">
        <f t="shared" si="1"/>
        <v>3.9565070390400914E-2</v>
      </c>
      <c r="H19" s="6">
        <f t="shared" si="2"/>
        <v>0.54159975250385806</v>
      </c>
      <c r="I19" s="6">
        <f t="shared" si="3"/>
        <v>0.2524762024465923</v>
      </c>
      <c r="J19" s="6">
        <f t="shared" si="4"/>
        <v>8.8186589460892875E-2</v>
      </c>
      <c r="K19" s="6">
        <f t="shared" si="5"/>
        <v>6.2070901874727177E-2</v>
      </c>
      <c r="L19" s="6">
        <f t="shared" si="6"/>
        <v>1.6101483323528679E-2</v>
      </c>
      <c r="M19" s="12">
        <f t="shared" si="7"/>
        <v>0.39974327645571345</v>
      </c>
    </row>
    <row r="20" spans="1:13" ht="18.75">
      <c r="A20" s="6">
        <v>100</v>
      </c>
      <c r="B20" s="6">
        <f t="shared" ref="B20:F29" si="8">IF($A20&lt;=0,0,_xlfn.NORM.S.DIST((LN($A20)-C$5)/$B$6,TRUE()))</f>
        <v>0.96702156576390563</v>
      </c>
      <c r="C20" s="6">
        <f t="shared" si="8"/>
        <v>0.45148386516710837</v>
      </c>
      <c r="D20" s="6">
        <f t="shared" si="8"/>
        <v>0.18789155351095352</v>
      </c>
      <c r="E20" s="6">
        <f t="shared" si="8"/>
        <v>9.1018113310689222E-2</v>
      </c>
      <c r="F20" s="6">
        <f t="shared" si="8"/>
        <v>1.9750898070574452E-2</v>
      </c>
      <c r="G20" s="6">
        <f t="shared" si="1"/>
        <v>3.2978434236094367E-2</v>
      </c>
      <c r="H20" s="6">
        <f t="shared" si="2"/>
        <v>0.51553770059679727</v>
      </c>
      <c r="I20" s="6">
        <f t="shared" si="3"/>
        <v>0.26359231165615482</v>
      </c>
      <c r="J20" s="6">
        <f t="shared" si="4"/>
        <v>9.6873440200264296E-2</v>
      </c>
      <c r="K20" s="6">
        <f t="shared" si="5"/>
        <v>7.126721524011477E-2</v>
      </c>
      <c r="L20" s="6">
        <f t="shared" si="6"/>
        <v>1.9750898070574452E-2</v>
      </c>
      <c r="M20" s="12">
        <f t="shared" si="7"/>
        <v>0.41722705291415274</v>
      </c>
    </row>
    <row r="21" spans="1:13" ht="18.75">
      <c r="A21" s="6">
        <v>110</v>
      </c>
      <c r="B21" s="6">
        <f t="shared" si="8"/>
        <v>0.9721748456615783</v>
      </c>
      <c r="C21" s="6">
        <f t="shared" si="8"/>
        <v>0.48131007148508831</v>
      </c>
      <c r="D21" s="6">
        <f t="shared" si="8"/>
        <v>0.20878467384960764</v>
      </c>
      <c r="E21" s="6">
        <f t="shared" si="8"/>
        <v>0.10393134237391627</v>
      </c>
      <c r="F21" s="6">
        <f t="shared" si="8"/>
        <v>2.3634959198949188E-2</v>
      </c>
      <c r="G21" s="6">
        <f t="shared" si="1"/>
        <v>2.7825154338421698E-2</v>
      </c>
      <c r="H21" s="6">
        <f t="shared" si="2"/>
        <v>0.49086477417648999</v>
      </c>
      <c r="I21" s="6">
        <f t="shared" si="3"/>
        <v>0.27252539763548067</v>
      </c>
      <c r="J21" s="6">
        <f t="shared" si="4"/>
        <v>0.10485333147569137</v>
      </c>
      <c r="K21" s="6">
        <f t="shared" si="5"/>
        <v>8.0296383174967081E-2</v>
      </c>
      <c r="L21" s="6">
        <f t="shared" si="6"/>
        <v>2.3634959198949188E-2</v>
      </c>
      <c r="M21" s="12">
        <f t="shared" si="7"/>
        <v>0.43352059502505091</v>
      </c>
    </row>
    <row r="22" spans="1:13" ht="18.75">
      <c r="A22" s="6">
        <v>120</v>
      </c>
      <c r="B22" s="6">
        <f t="shared" si="8"/>
        <v>0.97627587453445042</v>
      </c>
      <c r="C22" s="6">
        <f t="shared" si="8"/>
        <v>0.50863524571424767</v>
      </c>
      <c r="D22" s="6">
        <f t="shared" si="8"/>
        <v>0.22900353446131444</v>
      </c>
      <c r="E22" s="6">
        <f t="shared" si="8"/>
        <v>0.11683633546124057</v>
      </c>
      <c r="F22" s="6">
        <f t="shared" si="8"/>
        <v>2.7723251276549267E-2</v>
      </c>
      <c r="G22" s="6">
        <f t="shared" si="1"/>
        <v>2.3724125465549584E-2</v>
      </c>
      <c r="H22" s="6">
        <f t="shared" si="2"/>
        <v>0.46764062882020274</v>
      </c>
      <c r="I22" s="6">
        <f t="shared" si="3"/>
        <v>0.27963171125293323</v>
      </c>
      <c r="J22" s="6">
        <f t="shared" si="4"/>
        <v>0.11216719900007387</v>
      </c>
      <c r="K22" s="6">
        <f t="shared" si="5"/>
        <v>8.9113084184691299E-2</v>
      </c>
      <c r="L22" s="6">
        <f t="shared" si="6"/>
        <v>2.7723251276549267E-2</v>
      </c>
      <c r="M22" s="12">
        <f t="shared" si="7"/>
        <v>0.44877643912434417</v>
      </c>
    </row>
    <row r="23" spans="1:13" ht="18.75">
      <c r="A23" s="6">
        <v>130</v>
      </c>
      <c r="B23" s="6">
        <f t="shared" si="8"/>
        <v>0.97958748848392929</v>
      </c>
      <c r="C23" s="6">
        <f t="shared" si="8"/>
        <v>0.53373923789174904</v>
      </c>
      <c r="D23" s="6">
        <f t="shared" si="8"/>
        <v>0.24853511866087136</v>
      </c>
      <c r="E23" s="6">
        <f t="shared" si="8"/>
        <v>0.1296756644257859</v>
      </c>
      <c r="F23" s="6">
        <f t="shared" si="8"/>
        <v>3.1988860764868302E-2</v>
      </c>
      <c r="G23" s="6">
        <f t="shared" si="1"/>
        <v>2.0412511516070708E-2</v>
      </c>
      <c r="H23" s="6">
        <f t="shared" si="2"/>
        <v>0.44584825059218025</v>
      </c>
      <c r="I23" s="6">
        <f t="shared" si="3"/>
        <v>0.28520411923087768</v>
      </c>
      <c r="J23" s="6">
        <f t="shared" si="4"/>
        <v>0.11885945423508545</v>
      </c>
      <c r="K23" s="6">
        <f t="shared" si="5"/>
        <v>9.7686803660917601E-2</v>
      </c>
      <c r="L23" s="6">
        <f t="shared" si="6"/>
        <v>3.1988860764868302E-2</v>
      </c>
      <c r="M23" s="12">
        <f t="shared" si="7"/>
        <v>0.46311569699949212</v>
      </c>
    </row>
    <row r="24" spans="1:13" ht="18.75">
      <c r="A24" s="6">
        <v>140</v>
      </c>
      <c r="B24" s="6">
        <f t="shared" si="8"/>
        <v>0.98229574342248271</v>
      </c>
      <c r="C24" s="6">
        <f t="shared" si="8"/>
        <v>0.55686499062299144</v>
      </c>
      <c r="D24" s="6">
        <f t="shared" si="8"/>
        <v>0.2673807474684155</v>
      </c>
      <c r="E24" s="6">
        <f t="shared" si="8"/>
        <v>0.14240580041319953</v>
      </c>
      <c r="F24" s="6">
        <f t="shared" si="8"/>
        <v>3.6407993461250447E-2</v>
      </c>
      <c r="G24" s="6">
        <f t="shared" si="1"/>
        <v>1.7704256577517286E-2</v>
      </c>
      <c r="H24" s="6">
        <f t="shared" si="2"/>
        <v>0.42543075279949127</v>
      </c>
      <c r="I24" s="6">
        <f t="shared" si="3"/>
        <v>0.28948424315457594</v>
      </c>
      <c r="J24" s="6">
        <f t="shared" si="4"/>
        <v>0.12497494705521597</v>
      </c>
      <c r="K24" s="6">
        <f t="shared" si="5"/>
        <v>0.10599780695194908</v>
      </c>
      <c r="L24" s="6">
        <f t="shared" si="6"/>
        <v>3.6407993461250447E-2</v>
      </c>
      <c r="M24" s="12">
        <f t="shared" si="7"/>
        <v>0.47663703978657745</v>
      </c>
    </row>
    <row r="25" spans="1:13" ht="18.75">
      <c r="A25" s="6">
        <v>150</v>
      </c>
      <c r="B25" s="6">
        <f t="shared" si="8"/>
        <v>0.98453532784403863</v>
      </c>
      <c r="C25" s="6">
        <f t="shared" si="8"/>
        <v>0.57822341749220418</v>
      </c>
      <c r="D25" s="6">
        <f t="shared" si="8"/>
        <v>0.28555112592228948</v>
      </c>
      <c r="E25" s="6">
        <f t="shared" si="8"/>
        <v>0.15499386019036179</v>
      </c>
      <c r="F25" s="6">
        <f t="shared" si="8"/>
        <v>4.0959610166859582E-2</v>
      </c>
      <c r="G25" s="6">
        <f t="shared" si="1"/>
        <v>1.5464672155961368E-2</v>
      </c>
      <c r="H25" s="6">
        <f t="shared" si="2"/>
        <v>0.40631191035183445</v>
      </c>
      <c r="I25" s="6">
        <f t="shared" si="3"/>
        <v>0.2926722915699147</v>
      </c>
      <c r="J25" s="6">
        <f t="shared" si="4"/>
        <v>0.13055726573192769</v>
      </c>
      <c r="K25" s="6">
        <f t="shared" si="5"/>
        <v>0.1140342500235022</v>
      </c>
      <c r="L25" s="6">
        <f t="shared" si="6"/>
        <v>4.0959610166859582E-2</v>
      </c>
      <c r="M25" s="12">
        <f t="shared" si="7"/>
        <v>0.48942250785987329</v>
      </c>
    </row>
    <row r="26" spans="1:13" ht="18.75">
      <c r="A26" s="6">
        <v>160</v>
      </c>
      <c r="B26" s="6">
        <f t="shared" si="8"/>
        <v>0.98640566261765794</v>
      </c>
      <c r="C26" s="6">
        <f t="shared" si="8"/>
        <v>0.597997926511602</v>
      </c>
      <c r="D26" s="6">
        <f t="shared" si="8"/>
        <v>0.30306300394034646</v>
      </c>
      <c r="E26" s="6">
        <f t="shared" si="8"/>
        <v>0.16741517706663936</v>
      </c>
      <c r="F26" s="6">
        <f t="shared" si="8"/>
        <v>4.5625094446649882E-2</v>
      </c>
      <c r="G26" s="6">
        <f t="shared" si="1"/>
        <v>1.3594337382342059E-2</v>
      </c>
      <c r="H26" s="6">
        <f t="shared" si="2"/>
        <v>0.38840773610605595</v>
      </c>
      <c r="I26" s="6">
        <f t="shared" si="3"/>
        <v>0.29493492257125553</v>
      </c>
      <c r="J26" s="6">
        <f t="shared" si="4"/>
        <v>0.13564782687370711</v>
      </c>
      <c r="K26" s="6">
        <f t="shared" si="5"/>
        <v>0.12179008261998947</v>
      </c>
      <c r="L26" s="6">
        <f t="shared" si="6"/>
        <v>4.5625094446649882E-2</v>
      </c>
      <c r="M26" s="12">
        <f t="shared" si="7"/>
        <v>0.50154143427206244</v>
      </c>
    </row>
    <row r="27" spans="1:13" ht="18.75">
      <c r="A27" s="6">
        <v>170</v>
      </c>
      <c r="B27" s="6">
        <f t="shared" si="8"/>
        <v>0.98798140209488006</v>
      </c>
      <c r="C27" s="6">
        <f t="shared" si="8"/>
        <v>0.61634840923689804</v>
      </c>
      <c r="D27" s="6">
        <f t="shared" si="8"/>
        <v>0.31993690311643808</v>
      </c>
      <c r="E27" s="6">
        <f t="shared" si="8"/>
        <v>0.17965146777952487</v>
      </c>
      <c r="F27" s="6">
        <f t="shared" si="8"/>
        <v>5.0387956535921222E-2</v>
      </c>
      <c r="G27" s="6">
        <f t="shared" si="1"/>
        <v>1.2018597905119943E-2</v>
      </c>
      <c r="H27" s="6">
        <f t="shared" si="2"/>
        <v>0.37163299285798201</v>
      </c>
      <c r="I27" s="6">
        <f t="shared" si="3"/>
        <v>0.29641150612045997</v>
      </c>
      <c r="J27" s="6">
        <f t="shared" si="4"/>
        <v>0.14028543533691321</v>
      </c>
      <c r="K27" s="6">
        <f t="shared" si="5"/>
        <v>0.12926351124360363</v>
      </c>
      <c r="L27" s="6">
        <f t="shared" si="6"/>
        <v>5.0387956535921222E-2</v>
      </c>
      <c r="M27" s="12">
        <f t="shared" si="7"/>
        <v>0.51305319443257491</v>
      </c>
    </row>
    <row r="28" spans="1:13" ht="18.75">
      <c r="A28" s="6">
        <v>180</v>
      </c>
      <c r="B28" s="6">
        <f t="shared" si="8"/>
        <v>0.98931945978984126</v>
      </c>
      <c r="C28" s="6">
        <f t="shared" si="8"/>
        <v>0.63341467292074083</v>
      </c>
      <c r="D28" s="6">
        <f t="shared" si="8"/>
        <v>0.33619555893678249</v>
      </c>
      <c r="E28" s="6">
        <f t="shared" si="8"/>
        <v>0.19168943547614331</v>
      </c>
      <c r="F28" s="6">
        <f t="shared" si="8"/>
        <v>5.5233572786845889E-2</v>
      </c>
      <c r="G28" s="6">
        <f t="shared" si="1"/>
        <v>1.068054021015874E-2</v>
      </c>
      <c r="H28" s="6">
        <f t="shared" si="2"/>
        <v>0.35590478686910043</v>
      </c>
      <c r="I28" s="6">
        <f t="shared" si="3"/>
        <v>0.29721911398395834</v>
      </c>
      <c r="J28" s="6">
        <f t="shared" si="4"/>
        <v>0.14450612346063918</v>
      </c>
      <c r="K28" s="6">
        <f t="shared" si="5"/>
        <v>0.13645586268929744</v>
      </c>
      <c r="L28" s="6">
        <f t="shared" si="6"/>
        <v>5.5233572786845889E-2</v>
      </c>
      <c r="M28" s="12">
        <f t="shared" si="7"/>
        <v>0.52400919551194725</v>
      </c>
    </row>
    <row r="29" spans="1:13" ht="18.75">
      <c r="A29" s="6">
        <v>190</v>
      </c>
      <c r="B29" s="6">
        <f t="shared" si="8"/>
        <v>0.99046381530806649</v>
      </c>
      <c r="C29" s="6">
        <f t="shared" si="8"/>
        <v>0.64931935692024789</v>
      </c>
      <c r="D29" s="6">
        <f t="shared" si="8"/>
        <v>0.3518628499167149</v>
      </c>
      <c r="E29" s="6">
        <f t="shared" si="8"/>
        <v>0.20351969553324081</v>
      </c>
      <c r="F29" s="6">
        <f t="shared" si="8"/>
        <v>6.0148957981517544E-2</v>
      </c>
      <c r="G29" s="6">
        <f t="shared" si="1"/>
        <v>9.5361846919335136E-3</v>
      </c>
      <c r="H29" s="6">
        <f t="shared" si="2"/>
        <v>0.34114445838781859</v>
      </c>
      <c r="I29" s="6">
        <f t="shared" si="3"/>
        <v>0.29745650700353299</v>
      </c>
      <c r="J29" s="6">
        <f t="shared" si="4"/>
        <v>0.14834315438347409</v>
      </c>
      <c r="K29" s="6">
        <f t="shared" si="5"/>
        <v>0.14337073755172328</v>
      </c>
      <c r="L29" s="6">
        <f t="shared" si="6"/>
        <v>6.0148957981517544E-2</v>
      </c>
      <c r="M29" s="12">
        <f t="shared" si="7"/>
        <v>0.53445435566439525</v>
      </c>
    </row>
    <row r="30" spans="1:13" ht="18.75">
      <c r="A30" s="6">
        <v>200</v>
      </c>
      <c r="B30" s="6">
        <f t="shared" ref="B30:F39" si="9">IF($A30&lt;=0,0,_xlfn.NORM.S.DIST((LN($A30)-C$5)/$B$6,TRUE()))</f>
        <v>0.99144886930295451</v>
      </c>
      <c r="C30" s="6">
        <f t="shared" si="9"/>
        <v>0.66417039622949714</v>
      </c>
      <c r="D30" s="6">
        <f t="shared" si="9"/>
        <v>0.36696306204359963</v>
      </c>
      <c r="E30" s="6">
        <f t="shared" si="9"/>
        <v>0.21513594295951505</v>
      </c>
      <c r="F30" s="6">
        <f t="shared" si="9"/>
        <v>6.5122567078376145E-2</v>
      </c>
      <c r="G30" s="6">
        <f t="shared" si="1"/>
        <v>8.5511306970454948E-3</v>
      </c>
      <c r="H30" s="6">
        <f t="shared" si="2"/>
        <v>0.32727847307345737</v>
      </c>
      <c r="I30" s="6">
        <f t="shared" si="3"/>
        <v>0.29720733418589751</v>
      </c>
      <c r="J30" s="6">
        <f t="shared" si="4"/>
        <v>0.15182711908408458</v>
      </c>
      <c r="K30" s="6">
        <f t="shared" si="5"/>
        <v>0.15001337588113889</v>
      </c>
      <c r="L30" s="6">
        <f t="shared" si="6"/>
        <v>6.5122567078376145E-2</v>
      </c>
      <c r="M30" s="12">
        <f t="shared" si="7"/>
        <v>0.54442823004577767</v>
      </c>
    </row>
    <row r="31" spans="1:13" ht="18.75">
      <c r="A31" s="6">
        <v>210</v>
      </c>
      <c r="B31" s="6">
        <f t="shared" si="9"/>
        <v>0.99230182709133086</v>
      </c>
      <c r="C31" s="6">
        <f t="shared" si="9"/>
        <v>0.67806309791458097</v>
      </c>
      <c r="D31" s="6">
        <f t="shared" si="9"/>
        <v>0.38152038635147395</v>
      </c>
      <c r="E31" s="6">
        <f t="shared" si="9"/>
        <v>0.22653430238095745</v>
      </c>
      <c r="F31" s="6">
        <f t="shared" si="9"/>
        <v>7.0144122846097917E-2</v>
      </c>
      <c r="G31" s="6">
        <f t="shared" si="1"/>
        <v>7.6981729086691431E-3</v>
      </c>
      <c r="H31" s="6">
        <f t="shared" si="2"/>
        <v>0.31423872917674989</v>
      </c>
      <c r="I31" s="6">
        <f t="shared" si="3"/>
        <v>0.29654271156310702</v>
      </c>
      <c r="J31" s="6">
        <f t="shared" si="4"/>
        <v>0.1549860839705165</v>
      </c>
      <c r="K31" s="6">
        <f t="shared" si="5"/>
        <v>0.15639017953485954</v>
      </c>
      <c r="L31" s="6">
        <f t="shared" si="6"/>
        <v>7.0144122846097917E-2</v>
      </c>
      <c r="M31" s="12">
        <f t="shared" si="7"/>
        <v>0.55396588548109982</v>
      </c>
    </row>
    <row r="32" spans="1:13" ht="18.75">
      <c r="A32" s="6">
        <v>220</v>
      </c>
      <c r="B32" s="6">
        <f t="shared" si="9"/>
        <v>0.99304441951338684</v>
      </c>
      <c r="C32" s="6">
        <f t="shared" si="9"/>
        <v>0.69108189134113851</v>
      </c>
      <c r="D32" s="6">
        <f t="shared" si="9"/>
        <v>0.39555857982496134</v>
      </c>
      <c r="E32" s="6">
        <f t="shared" si="9"/>
        <v>0.23771281728627677</v>
      </c>
      <c r="F32" s="6">
        <f t="shared" si="9"/>
        <v>7.5204466031135148E-2</v>
      </c>
      <c r="G32" s="6">
        <f t="shared" si="1"/>
        <v>6.9555804866131554E-3</v>
      </c>
      <c r="H32" s="6">
        <f t="shared" si="2"/>
        <v>0.30196252817224833</v>
      </c>
      <c r="I32" s="6">
        <f t="shared" si="3"/>
        <v>0.29552331151617717</v>
      </c>
      <c r="J32" s="6">
        <f t="shared" si="4"/>
        <v>0.15784576253868457</v>
      </c>
      <c r="K32" s="6">
        <f t="shared" si="5"/>
        <v>0.16250835125514163</v>
      </c>
      <c r="L32" s="6">
        <f t="shared" si="6"/>
        <v>7.5204466031135148E-2</v>
      </c>
      <c r="M32" s="12">
        <f t="shared" si="7"/>
        <v>0.5630985918659267</v>
      </c>
    </row>
    <row r="33" spans="1:13" ht="18.75">
      <c r="A33" s="6">
        <v>230</v>
      </c>
      <c r="B33" s="6">
        <f t="shared" si="9"/>
        <v>0.99369416347317574</v>
      </c>
      <c r="C33" s="6">
        <f t="shared" si="9"/>
        <v>0.70330180549962773</v>
      </c>
      <c r="D33" s="6">
        <f t="shared" si="9"/>
        <v>0.40910074137232177</v>
      </c>
      <c r="E33" s="6">
        <f t="shared" si="9"/>
        <v>0.24867104638537518</v>
      </c>
      <c r="F33" s="6">
        <f t="shared" si="9"/>
        <v>8.0295425024804828E-2</v>
      </c>
      <c r="G33" s="6">
        <f t="shared" si="1"/>
        <v>6.30583652682426E-3</v>
      </c>
      <c r="H33" s="6">
        <f t="shared" si="2"/>
        <v>0.29039235797354801</v>
      </c>
      <c r="I33" s="6">
        <f t="shared" si="3"/>
        <v>0.29420106412730596</v>
      </c>
      <c r="J33" s="6">
        <f t="shared" si="4"/>
        <v>0.16042969498694659</v>
      </c>
      <c r="K33" s="6">
        <f t="shared" si="5"/>
        <v>0.16837562136057035</v>
      </c>
      <c r="L33" s="6">
        <f t="shared" si="6"/>
        <v>8.0295425024804828E-2</v>
      </c>
      <c r="M33" s="12">
        <f t="shared" si="7"/>
        <v>0.57185437704656805</v>
      </c>
    </row>
    <row r="34" spans="1:13" ht="18.75">
      <c r="A34" s="6">
        <v>240</v>
      </c>
      <c r="B34" s="6">
        <f t="shared" si="9"/>
        <v>0.99426529756634441</v>
      </c>
      <c r="C34" s="6">
        <f t="shared" si="9"/>
        <v>0.7147897187617962</v>
      </c>
      <c r="D34" s="6">
        <f t="shared" si="9"/>
        <v>0.42216916915252156</v>
      </c>
      <c r="E34" s="6">
        <f t="shared" si="9"/>
        <v>0.25940974299295783</v>
      </c>
      <c r="F34" s="6">
        <f t="shared" si="9"/>
        <v>8.5409702352544761E-2</v>
      </c>
      <c r="G34" s="6">
        <f t="shared" si="1"/>
        <v>5.7347024336555918E-3</v>
      </c>
      <c r="H34" s="6">
        <f t="shared" si="2"/>
        <v>0.27947557880454821</v>
      </c>
      <c r="I34" s="6">
        <f t="shared" si="3"/>
        <v>0.29262054960927464</v>
      </c>
      <c r="J34" s="6">
        <f t="shared" si="4"/>
        <v>0.16275942615956374</v>
      </c>
      <c r="K34" s="6">
        <f t="shared" si="5"/>
        <v>0.17400004064041308</v>
      </c>
      <c r="L34" s="6">
        <f t="shared" si="6"/>
        <v>8.5409702352544761E-2</v>
      </c>
      <c r="M34" s="12">
        <f t="shared" si="7"/>
        <v>0.5802584780543637</v>
      </c>
    </row>
    <row r="35" spans="1:13" ht="18.75">
      <c r="A35" s="6">
        <v>250</v>
      </c>
      <c r="B35" s="6">
        <f t="shared" si="9"/>
        <v>0.99476948497797857</v>
      </c>
      <c r="C35" s="6">
        <f t="shared" si="9"/>
        <v>0.72560541901921516</v>
      </c>
      <c r="D35" s="6">
        <f t="shared" si="9"/>
        <v>0.43478527549033386</v>
      </c>
      <c r="E35" s="6">
        <f t="shared" si="9"/>
        <v>0.26993059922381135</v>
      </c>
      <c r="F35" s="6">
        <f t="shared" si="9"/>
        <v>9.054077565698436E-2</v>
      </c>
      <c r="G35" s="6">
        <f t="shared" si="1"/>
        <v>5.2305150220214314E-3</v>
      </c>
      <c r="H35" s="6">
        <f t="shared" si="2"/>
        <v>0.26916406595876341</v>
      </c>
      <c r="I35" s="6">
        <f t="shared" si="3"/>
        <v>0.2908201435288813</v>
      </c>
      <c r="J35" s="6">
        <f t="shared" si="4"/>
        <v>0.1648546762665225</v>
      </c>
      <c r="K35" s="6">
        <f t="shared" si="5"/>
        <v>0.17938982356682698</v>
      </c>
      <c r="L35" s="6">
        <f t="shared" si="6"/>
        <v>9.054077565698436E-2</v>
      </c>
      <c r="M35" s="12">
        <f t="shared" si="7"/>
        <v>0.58833371232115206</v>
      </c>
    </row>
    <row r="36" spans="1:13" ht="18.75">
      <c r="A36" s="6">
        <v>260</v>
      </c>
      <c r="B36" s="6">
        <f t="shared" si="9"/>
        <v>0.99521634742457821</v>
      </c>
      <c r="C36" s="6">
        <f t="shared" si="9"/>
        <v>0.73580250570529937</v>
      </c>
      <c r="D36" s="6">
        <f t="shared" si="9"/>
        <v>0.44696954249873128</v>
      </c>
      <c r="E36" s="6">
        <f t="shared" si="9"/>
        <v>0.28023604111172928</v>
      </c>
      <c r="F36" s="6">
        <f t="shared" si="9"/>
        <v>9.5682811167480092E-2</v>
      </c>
      <c r="G36" s="6">
        <f t="shared" si="1"/>
        <v>4.7836525754217929E-3</v>
      </c>
      <c r="H36" s="6">
        <f t="shared" si="2"/>
        <v>0.25941384171927884</v>
      </c>
      <c r="I36" s="6">
        <f t="shared" si="3"/>
        <v>0.28883296320656809</v>
      </c>
      <c r="J36" s="6">
        <f t="shared" si="4"/>
        <v>0.16673350138700199</v>
      </c>
      <c r="K36" s="6">
        <f t="shared" si="5"/>
        <v>0.18455322994424919</v>
      </c>
      <c r="L36" s="6">
        <f t="shared" si="6"/>
        <v>9.5682811167480092E-2</v>
      </c>
      <c r="M36" s="12">
        <f t="shared" si="7"/>
        <v>0.59610078619065965</v>
      </c>
    </row>
    <row r="37" spans="1:13" ht="18.75">
      <c r="A37" s="6">
        <v>270</v>
      </c>
      <c r="B37" s="6">
        <f t="shared" si="9"/>
        <v>0.99561387491487141</v>
      </c>
      <c r="C37" s="6">
        <f t="shared" si="9"/>
        <v>0.74542915973874724</v>
      </c>
      <c r="D37" s="6">
        <f t="shared" si="9"/>
        <v>0.45874150634274563</v>
      </c>
      <c r="E37" s="6">
        <f t="shared" si="9"/>
        <v>0.2903290639791668</v>
      </c>
      <c r="F37" s="6">
        <f t="shared" si="9"/>
        <v>0.10083058793415736</v>
      </c>
      <c r="G37" s="6">
        <f t="shared" si="1"/>
        <v>4.3861250851285893E-3</v>
      </c>
      <c r="H37" s="6">
        <f t="shared" si="2"/>
        <v>0.25018471517612417</v>
      </c>
      <c r="I37" s="6">
        <f t="shared" si="3"/>
        <v>0.28668765339600161</v>
      </c>
      <c r="J37" s="6">
        <f t="shared" si="4"/>
        <v>0.16841244236357883</v>
      </c>
      <c r="K37" s="6">
        <f t="shared" si="5"/>
        <v>0.18949847604500944</v>
      </c>
      <c r="L37" s="6">
        <f t="shared" si="6"/>
        <v>0.10083058793415736</v>
      </c>
      <c r="M37" s="12">
        <f t="shared" si="7"/>
        <v>0.60357855363938184</v>
      </c>
    </row>
    <row r="38" spans="1:13" ht="18.75">
      <c r="A38" s="6">
        <v>280</v>
      </c>
      <c r="B38" s="6">
        <f t="shared" si="9"/>
        <v>0.99596874319362827</v>
      </c>
      <c r="C38" s="6">
        <f t="shared" si="9"/>
        <v>0.75452880287684632</v>
      </c>
      <c r="D38" s="6">
        <f t="shared" si="9"/>
        <v>0.47011976147761636</v>
      </c>
      <c r="E38" s="6">
        <f t="shared" si="9"/>
        <v>0.30021309979572885</v>
      </c>
      <c r="F38" s="6">
        <f t="shared" si="9"/>
        <v>0.10597943135325144</v>
      </c>
      <c r="G38" s="6">
        <f t="shared" si="1"/>
        <v>4.0312568063717302E-3</v>
      </c>
      <c r="H38" s="6">
        <f t="shared" si="2"/>
        <v>0.24143994031678195</v>
      </c>
      <c r="I38" s="6">
        <f t="shared" si="3"/>
        <v>0.28440904139922996</v>
      </c>
      <c r="J38" s="6">
        <f t="shared" si="4"/>
        <v>0.16990666168188751</v>
      </c>
      <c r="K38" s="6">
        <f t="shared" si="5"/>
        <v>0.19423366844247741</v>
      </c>
      <c r="L38" s="6">
        <f t="shared" si="6"/>
        <v>0.10597943135325144</v>
      </c>
      <c r="M38" s="12">
        <f t="shared" si="7"/>
        <v>0.6107842349917072</v>
      </c>
    </row>
    <row r="39" spans="1:13" ht="18.75">
      <c r="A39" s="6">
        <v>290</v>
      </c>
      <c r="B39" s="6">
        <f t="shared" si="9"/>
        <v>0.9962865618298905</v>
      </c>
      <c r="C39" s="6">
        <f t="shared" si="9"/>
        <v>0.76314066421499316</v>
      </c>
      <c r="D39" s="6">
        <f t="shared" si="9"/>
        <v>0.48112197861294415</v>
      </c>
      <c r="E39" s="6">
        <f t="shared" si="9"/>
        <v>0.30989191008662714</v>
      </c>
      <c r="F39" s="6">
        <f t="shared" si="9"/>
        <v>0.11112515472475219</v>
      </c>
      <c r="G39" s="6">
        <f t="shared" si="1"/>
        <v>3.7134381701094954E-3</v>
      </c>
      <c r="H39" s="6">
        <f t="shared" si="2"/>
        <v>0.23314589761489735</v>
      </c>
      <c r="I39" s="6">
        <f t="shared" si="3"/>
        <v>0.28201868560204901</v>
      </c>
      <c r="J39" s="6">
        <f t="shared" si="4"/>
        <v>0.171230068526317</v>
      </c>
      <c r="K39" s="6">
        <f t="shared" si="5"/>
        <v>0.19876675536187494</v>
      </c>
      <c r="L39" s="6">
        <f t="shared" si="6"/>
        <v>0.11112515472475219</v>
      </c>
      <c r="M39" s="12">
        <f t="shared" si="7"/>
        <v>0.6177336031499262</v>
      </c>
    </row>
    <row r="40" spans="1:13" ht="18.75">
      <c r="A40" s="6">
        <v>300</v>
      </c>
      <c r="B40" s="6">
        <f t="shared" ref="B40:F49" si="10">IF($A40&lt;=0,0,_xlfn.NORM.S.DIST((LN($A40)-C$5)/$B$6,TRUE()))</f>
        <v>0.99657206968822221</v>
      </c>
      <c r="C40" s="6">
        <f t="shared" si="10"/>
        <v>0.77130026849007993</v>
      </c>
      <c r="D40" s="6">
        <f t="shared" si="10"/>
        <v>0.49176493188874987</v>
      </c>
      <c r="E40" s="6">
        <f t="shared" si="10"/>
        <v>0.31936949934139935</v>
      </c>
      <c r="F40" s="6">
        <f t="shared" si="10"/>
        <v>0.11626400776647577</v>
      </c>
      <c r="G40" s="6">
        <f t="shared" si="1"/>
        <v>3.4279303117777937E-3</v>
      </c>
      <c r="H40" s="6">
        <f t="shared" si="2"/>
        <v>0.22527180119814227</v>
      </c>
      <c r="I40" s="6">
        <f t="shared" si="3"/>
        <v>0.27953533660133006</v>
      </c>
      <c r="J40" s="6">
        <f t="shared" si="4"/>
        <v>0.17239543254735051</v>
      </c>
      <c r="K40" s="6">
        <f t="shared" si="5"/>
        <v>0.20310549157492358</v>
      </c>
      <c r="L40" s="6">
        <f t="shared" si="6"/>
        <v>0.11626400776647577</v>
      </c>
      <c r="M40" s="12">
        <f t="shared" si="7"/>
        <v>0.62444114319462041</v>
      </c>
    </row>
    <row r="41" spans="1:13" ht="18.75">
      <c r="A41" s="6">
        <v>310</v>
      </c>
      <c r="B41" s="6">
        <f t="shared" si="10"/>
        <v>0.99682929011703081</v>
      </c>
      <c r="C41" s="6">
        <f t="shared" si="10"/>
        <v>0.77903985832507638</v>
      </c>
      <c r="D41" s="6">
        <f t="shared" si="10"/>
        <v>0.50206453200056367</v>
      </c>
      <c r="E41" s="6">
        <f t="shared" si="10"/>
        <v>0.32865004493943223</v>
      </c>
      <c r="F41" s="6">
        <f t="shared" si="10"/>
        <v>0.1213926311645652</v>
      </c>
      <c r="G41" s="6">
        <f t="shared" si="1"/>
        <v>3.1707098829691915E-3</v>
      </c>
      <c r="H41" s="6">
        <f t="shared" si="2"/>
        <v>0.21778943179195442</v>
      </c>
      <c r="I41" s="6">
        <f t="shared" si="3"/>
        <v>0.27697532632451272</v>
      </c>
      <c r="J41" s="6">
        <f t="shared" si="4"/>
        <v>0.17341448706113144</v>
      </c>
      <c r="K41" s="6">
        <f t="shared" si="5"/>
        <v>0.20725741377486703</v>
      </c>
      <c r="L41" s="6">
        <f t="shared" si="6"/>
        <v>0.1213926311645652</v>
      </c>
      <c r="M41" s="12">
        <f t="shared" si="7"/>
        <v>0.63092018996803911</v>
      </c>
    </row>
    <row r="42" spans="1:13" ht="18.75">
      <c r="A42" s="6">
        <v>320</v>
      </c>
      <c r="B42" s="6">
        <f t="shared" si="10"/>
        <v>0.99706165503384203</v>
      </c>
      <c r="C42" s="6">
        <f t="shared" si="10"/>
        <v>0.78638876048981154</v>
      </c>
      <c r="D42" s="6">
        <f t="shared" si="10"/>
        <v>0.51203586291830971</v>
      </c>
      <c r="E42" s="6">
        <f t="shared" si="10"/>
        <v>0.33773784043279698</v>
      </c>
      <c r="F42" s="6">
        <f t="shared" si="10"/>
        <v>0.12650801637278516</v>
      </c>
      <c r="G42" s="6">
        <f t="shared" ref="G42:G70" si="11">1-B42</f>
        <v>2.9383449661579686E-3</v>
      </c>
      <c r="H42" s="6">
        <f t="shared" ref="H42:H70" si="12">B42-C42</f>
        <v>0.21067289454403049</v>
      </c>
      <c r="I42" s="6">
        <f t="shared" ref="I42:I70" si="13">C42-D42</f>
        <v>0.27435289757150183</v>
      </c>
      <c r="J42" s="6">
        <f t="shared" ref="J42:J70" si="14">D42-E42</f>
        <v>0.17429802248551274</v>
      </c>
      <c r="K42" s="6">
        <f t="shared" ref="K42:K70" si="15">E42-F42</f>
        <v>0.21122982406001181</v>
      </c>
      <c r="L42" s="6">
        <f t="shared" ref="L42:L70" si="16">F42</f>
        <v>0.12650801637278516</v>
      </c>
      <c r="M42" s="12">
        <f t="shared" ref="M42:M73" si="17">G42*$B$4+H42*$C$4+I42*$D$4+J42*$E$4+K42*$F$4+L42*$G$4</f>
        <v>0.63718304731268893</v>
      </c>
    </row>
    <row r="43" spans="1:13" ht="18.75">
      <c r="A43" s="6">
        <v>330</v>
      </c>
      <c r="B43" s="6">
        <f t="shared" si="10"/>
        <v>0.99727210480399175</v>
      </c>
      <c r="C43" s="6">
        <f t="shared" si="10"/>
        <v>0.79337370456417777</v>
      </c>
      <c r="D43" s="6">
        <f t="shared" si="10"/>
        <v>0.52169322050515721</v>
      </c>
      <c r="E43" s="6">
        <f t="shared" si="10"/>
        <v>0.3466372496677233</v>
      </c>
      <c r="F43" s="6">
        <f t="shared" si="10"/>
        <v>0.13160746998528836</v>
      </c>
      <c r="G43" s="6">
        <f t="shared" si="11"/>
        <v>2.7278951960082454E-3</v>
      </c>
      <c r="H43" s="6">
        <f t="shared" si="12"/>
        <v>0.20389840023981398</v>
      </c>
      <c r="I43" s="6">
        <f t="shared" si="13"/>
        <v>0.27168048405902057</v>
      </c>
      <c r="J43" s="6">
        <f t="shared" si="14"/>
        <v>0.17505597083743391</v>
      </c>
      <c r="K43" s="6">
        <f t="shared" si="15"/>
        <v>0.21502977968243495</v>
      </c>
      <c r="L43" s="6">
        <f t="shared" si="16"/>
        <v>0.13160746998528836</v>
      </c>
      <c r="M43" s="12">
        <f t="shared" si="17"/>
        <v>0.64324109191701906</v>
      </c>
    </row>
    <row r="44" spans="1:13" ht="18.75">
      <c r="A44" s="6">
        <v>340</v>
      </c>
      <c r="B44" s="6">
        <f t="shared" si="10"/>
        <v>0.99746316913924715</v>
      </c>
      <c r="C44" s="6">
        <f t="shared" si="10"/>
        <v>0.80001910100486473</v>
      </c>
      <c r="D44" s="6">
        <f t="shared" si="10"/>
        <v>0.53105015182615833</v>
      </c>
      <c r="E44" s="6">
        <f t="shared" si="10"/>
        <v>0.35535266972740265</v>
      </c>
      <c r="F44" s="6">
        <f t="shared" si="10"/>
        <v>0.13668858210280008</v>
      </c>
      <c r="G44" s="6">
        <f t="shared" si="11"/>
        <v>2.5368308607528478E-3</v>
      </c>
      <c r="H44" s="6">
        <f t="shared" si="12"/>
        <v>0.19744406813438242</v>
      </c>
      <c r="I44" s="6">
        <f t="shared" si="13"/>
        <v>0.2689689491787064</v>
      </c>
      <c r="J44" s="6">
        <f t="shared" si="14"/>
        <v>0.17569748209875569</v>
      </c>
      <c r="K44" s="6">
        <f t="shared" si="15"/>
        <v>0.21866408762460257</v>
      </c>
      <c r="L44" s="6">
        <f t="shared" si="16"/>
        <v>0.13668858210280008</v>
      </c>
      <c r="M44" s="12">
        <f t="shared" si="17"/>
        <v>0.64910486416195801</v>
      </c>
    </row>
    <row r="45" spans="1:13" ht="18.75">
      <c r="A45" s="6">
        <v>350</v>
      </c>
      <c r="B45" s="6">
        <f t="shared" si="10"/>
        <v>0.99763703300992423</v>
      </c>
      <c r="C45" s="6">
        <f t="shared" si="10"/>
        <v>0.80634728447828552</v>
      </c>
      <c r="D45" s="6">
        <f t="shared" si="10"/>
        <v>0.54011949429108375</v>
      </c>
      <c r="E45" s="6">
        <f t="shared" si="10"/>
        <v>0.3638885010732813</v>
      </c>
      <c r="F45" s="6">
        <f t="shared" si="10"/>
        <v>0.14174919819306395</v>
      </c>
      <c r="G45" s="6">
        <f t="shared" si="11"/>
        <v>2.3629669900757655E-3</v>
      </c>
      <c r="H45" s="6">
        <f t="shared" si="12"/>
        <v>0.19128974853163871</v>
      </c>
      <c r="I45" s="6">
        <f t="shared" si="13"/>
        <v>0.26622779018720177</v>
      </c>
      <c r="J45" s="6">
        <f t="shared" si="14"/>
        <v>0.17623099321780245</v>
      </c>
      <c r="K45" s="6">
        <f t="shared" si="15"/>
        <v>0.22213930288021735</v>
      </c>
      <c r="L45" s="6">
        <f t="shared" si="16"/>
        <v>0.14174919819306395</v>
      </c>
      <c r="M45" s="12">
        <f t="shared" si="17"/>
        <v>0.65478414792512207</v>
      </c>
    </row>
    <row r="46" spans="1:13" ht="18.75">
      <c r="A46" s="6">
        <v>360</v>
      </c>
      <c r="B46" s="6">
        <f t="shared" si="10"/>
        <v>0.99779559064558521</v>
      </c>
      <c r="C46" s="6">
        <f t="shared" si="10"/>
        <v>0.81237872738430694</v>
      </c>
      <c r="D46" s="6">
        <f t="shared" si="10"/>
        <v>0.54891341403620197</v>
      </c>
      <c r="E46" s="6">
        <f t="shared" si="10"/>
        <v>0.37224912357401801</v>
      </c>
      <c r="F46" s="6">
        <f t="shared" si="10"/>
        <v>0.14678739401513005</v>
      </c>
      <c r="G46" s="6">
        <f t="shared" si="11"/>
        <v>2.2044093544147936E-3</v>
      </c>
      <c r="H46" s="6">
        <f t="shared" si="12"/>
        <v>0.18541686326127826</v>
      </c>
      <c r="I46" s="6">
        <f t="shared" si="13"/>
        <v>0.26346531334810497</v>
      </c>
      <c r="J46" s="6">
        <f t="shared" si="14"/>
        <v>0.17666429046218396</v>
      </c>
      <c r="K46" s="6">
        <f t="shared" si="15"/>
        <v>0.22546172955888796</v>
      </c>
      <c r="L46" s="6">
        <f t="shared" si="16"/>
        <v>0.14678739401513005</v>
      </c>
      <c r="M46" s="12">
        <f t="shared" si="17"/>
        <v>0.66028804095413929</v>
      </c>
    </row>
    <row r="47" spans="1:13" ht="18.75">
      <c r="A47" s="6">
        <v>370</v>
      </c>
      <c r="B47" s="6">
        <f t="shared" si="10"/>
        <v>0.9979404900094252</v>
      </c>
      <c r="C47" s="6">
        <f t="shared" si="10"/>
        <v>0.81813222772034933</v>
      </c>
      <c r="D47" s="6">
        <f t="shared" si="10"/>
        <v>0.55744344314092231</v>
      </c>
      <c r="E47" s="6">
        <f t="shared" si="10"/>
        <v>0.38043887735927862</v>
      </c>
      <c r="F47" s="6">
        <f t="shared" si="10"/>
        <v>0.15180145323557678</v>
      </c>
      <c r="G47" s="6">
        <f t="shared" si="11"/>
        <v>2.0595099905748038E-3</v>
      </c>
      <c r="H47" s="6">
        <f t="shared" si="12"/>
        <v>0.17980826228907587</v>
      </c>
      <c r="I47" s="6">
        <f t="shared" si="13"/>
        <v>0.26068878457942701</v>
      </c>
      <c r="J47" s="6">
        <f t="shared" si="14"/>
        <v>0.1770045657816437</v>
      </c>
      <c r="K47" s="6">
        <f t="shared" si="15"/>
        <v>0.22863742412370183</v>
      </c>
      <c r="L47" s="6">
        <f t="shared" si="16"/>
        <v>0.15180145323557678</v>
      </c>
      <c r="M47" s="12">
        <f t="shared" si="17"/>
        <v>0.66562501714512379</v>
      </c>
    </row>
    <row r="48" spans="1:13" ht="18.75">
      <c r="A48" s="6">
        <v>380</v>
      </c>
      <c r="B48" s="6">
        <f t="shared" si="10"/>
        <v>0.99807316960901049</v>
      </c>
      <c r="C48" s="6">
        <f t="shared" si="10"/>
        <v>0.82362507479320823</v>
      </c>
      <c r="D48" s="6">
        <f t="shared" si="10"/>
        <v>0.56572051541547697</v>
      </c>
      <c r="E48" s="6">
        <f t="shared" si="10"/>
        <v>0.38846204763363201</v>
      </c>
      <c r="F48" s="6">
        <f t="shared" si="10"/>
        <v>0.15678984741464655</v>
      </c>
      <c r="G48" s="6">
        <f t="shared" si="11"/>
        <v>1.926830390989509E-3</v>
      </c>
      <c r="H48" s="6">
        <f t="shared" si="12"/>
        <v>0.17444809481580226</v>
      </c>
      <c r="I48" s="6">
        <f t="shared" si="13"/>
        <v>0.25790455937773127</v>
      </c>
      <c r="J48" s="6">
        <f t="shared" si="14"/>
        <v>0.17725846778184495</v>
      </c>
      <c r="K48" s="6">
        <f t="shared" si="15"/>
        <v>0.23167220021898546</v>
      </c>
      <c r="L48" s="6">
        <f t="shared" si="16"/>
        <v>0.15678984741464655</v>
      </c>
      <c r="M48" s="12">
        <f t="shared" si="17"/>
        <v>0.67080298184093334</v>
      </c>
    </row>
    <row r="49" spans="1:13" ht="18.75">
      <c r="A49" s="6">
        <v>390</v>
      </c>
      <c r="B49" s="6">
        <f t="shared" si="10"/>
        <v>0.99819488910747878</v>
      </c>
      <c r="C49" s="6">
        <f t="shared" si="10"/>
        <v>0.82887319575220797</v>
      </c>
      <c r="D49" s="6">
        <f t="shared" si="10"/>
        <v>0.57375500059836848</v>
      </c>
      <c r="E49" s="6">
        <f t="shared" si="10"/>
        <v>0.39632285274466256</v>
      </c>
      <c r="F49" s="6">
        <f t="shared" si="10"/>
        <v>0.16175121808287196</v>
      </c>
      <c r="G49" s="6">
        <f t="shared" si="11"/>
        <v>1.8051108925212223E-3</v>
      </c>
      <c r="H49" s="6">
        <f t="shared" si="12"/>
        <v>0.16932169335527081</v>
      </c>
      <c r="I49" s="6">
        <f t="shared" si="13"/>
        <v>0.25511819515383949</v>
      </c>
      <c r="J49" s="6">
        <f t="shared" si="14"/>
        <v>0.17743214785370592</v>
      </c>
      <c r="K49" s="6">
        <f t="shared" si="15"/>
        <v>0.2345716346617906</v>
      </c>
      <c r="L49" s="6">
        <f t="shared" si="16"/>
        <v>0.16175121808287196</v>
      </c>
      <c r="M49" s="12">
        <f t="shared" si="17"/>
        <v>0.67582932108450033</v>
      </c>
    </row>
    <row r="50" spans="1:13" ht="18.75">
      <c r="A50" s="6">
        <v>400</v>
      </c>
      <c r="B50" s="6">
        <f t="shared" ref="B50:F59" si="18">IF($A50&lt;=0,0,_xlfn.NORM.S.DIST((LN($A50)-C$5)/$B$6,TRUE()))</f>
        <v>0.99830675489311693</v>
      </c>
      <c r="C50" s="6">
        <f t="shared" si="18"/>
        <v>0.8338912854723759</v>
      </c>
      <c r="D50" s="6">
        <f t="shared" si="18"/>
        <v>0.5815567368769855</v>
      </c>
      <c r="E50" s="6">
        <f t="shared" si="18"/>
        <v>0.40402543492740611</v>
      </c>
      <c r="F50" s="6">
        <f t="shared" si="18"/>
        <v>0.16668436066523937</v>
      </c>
      <c r="G50" s="6">
        <f t="shared" si="11"/>
        <v>1.6932451068830678E-3</v>
      </c>
      <c r="H50" s="6">
        <f t="shared" si="12"/>
        <v>0.16441546942074103</v>
      </c>
      <c r="I50" s="6">
        <f t="shared" si="13"/>
        <v>0.2523345485953904</v>
      </c>
      <c r="J50" s="6">
        <f t="shared" si="14"/>
        <v>0.17753130194957939</v>
      </c>
      <c r="K50" s="6">
        <f t="shared" si="15"/>
        <v>0.23734107426216675</v>
      </c>
      <c r="L50" s="6">
        <f t="shared" si="16"/>
        <v>0.16668436066523937</v>
      </c>
      <c r="M50" s="12">
        <f t="shared" si="17"/>
        <v>0.68071094561625445</v>
      </c>
    </row>
    <row r="51" spans="1:13" ht="18.75">
      <c r="A51" s="6">
        <v>410</v>
      </c>
      <c r="B51" s="6">
        <f t="shared" si="18"/>
        <v>0.99840974152841122</v>
      </c>
      <c r="C51" s="6">
        <f t="shared" si="18"/>
        <v>0.83869292194431411</v>
      </c>
      <c r="D51" s="6">
        <f t="shared" si="18"/>
        <v>0.58913506169869478</v>
      </c>
      <c r="E51" s="6">
        <f t="shared" si="18"/>
        <v>0.41157385325067442</v>
      </c>
      <c r="F51" s="6">
        <f t="shared" si="18"/>
        <v>0.1715882100411964</v>
      </c>
      <c r="G51" s="6">
        <f t="shared" si="11"/>
        <v>1.5902584715887791E-3</v>
      </c>
      <c r="H51" s="6">
        <f t="shared" si="12"/>
        <v>0.15971681958409711</v>
      </c>
      <c r="I51" s="6">
        <f t="shared" si="13"/>
        <v>0.24955786024561932</v>
      </c>
      <c r="J51" s="6">
        <f t="shared" si="14"/>
        <v>0.17756120844802037</v>
      </c>
      <c r="K51" s="6">
        <f t="shared" si="15"/>
        <v>0.23998564320947802</v>
      </c>
      <c r="L51" s="6">
        <f t="shared" si="16"/>
        <v>0.1715882100411964</v>
      </c>
      <c r="M51" s="12">
        <f t="shared" si="17"/>
        <v>0.68545433028457581</v>
      </c>
    </row>
    <row r="52" spans="1:13" ht="18.75">
      <c r="A52" s="6">
        <v>420</v>
      </c>
      <c r="B52" s="6">
        <f t="shared" si="18"/>
        <v>0.99850470981533657</v>
      </c>
      <c r="C52" s="6">
        <f t="shared" si="18"/>
        <v>0.84329066901545402</v>
      </c>
      <c r="D52" s="6">
        <f t="shared" si="18"/>
        <v>0.59649884087822747</v>
      </c>
      <c r="E52" s="6">
        <f t="shared" si="18"/>
        <v>0.4189720783748182</v>
      </c>
      <c r="F52" s="6">
        <f t="shared" si="18"/>
        <v>0.17646182755567691</v>
      </c>
      <c r="G52" s="6">
        <f t="shared" si="11"/>
        <v>1.4952901846634337E-3</v>
      </c>
      <c r="H52" s="6">
        <f t="shared" si="12"/>
        <v>0.15521404079988255</v>
      </c>
      <c r="I52" s="6">
        <f t="shared" si="13"/>
        <v>0.24679182813722655</v>
      </c>
      <c r="J52" s="6">
        <f t="shared" si="14"/>
        <v>0.17752676250340926</v>
      </c>
      <c r="K52" s="6">
        <f t="shared" si="15"/>
        <v>0.24251025081914129</v>
      </c>
      <c r="L52" s="6">
        <f t="shared" si="16"/>
        <v>0.17646182755567691</v>
      </c>
      <c r="M52" s="12">
        <f t="shared" si="17"/>
        <v>0.69006554943904486</v>
      </c>
    </row>
    <row r="53" spans="1:13" ht="18.75">
      <c r="A53" s="6">
        <v>430</v>
      </c>
      <c r="B53" s="6">
        <f t="shared" si="18"/>
        <v>0.99859242206931786</v>
      </c>
      <c r="C53" s="6">
        <f t="shared" si="18"/>
        <v>0.8476961680649634</v>
      </c>
      <c r="D53" s="6">
        <f t="shared" si="18"/>
        <v>0.60365649603422256</v>
      </c>
      <c r="E53" s="6">
        <f t="shared" si="18"/>
        <v>0.4262239887988718</v>
      </c>
      <c r="F53" s="6">
        <f t="shared" si="18"/>
        <v>0.18130438931945236</v>
      </c>
      <c r="G53" s="6">
        <f t="shared" si="11"/>
        <v>1.4075779306821357E-3</v>
      </c>
      <c r="H53" s="6">
        <f t="shared" si="12"/>
        <v>0.15089625400435447</v>
      </c>
      <c r="I53" s="6">
        <f t="shared" si="13"/>
        <v>0.24403967203074084</v>
      </c>
      <c r="J53" s="6">
        <f t="shared" si="14"/>
        <v>0.17743250723535076</v>
      </c>
      <c r="K53" s="6">
        <f t="shared" si="15"/>
        <v>0.24491959947941944</v>
      </c>
      <c r="L53" s="6">
        <f t="shared" si="16"/>
        <v>0.18130438931945236</v>
      </c>
      <c r="M53" s="12">
        <f t="shared" si="17"/>
        <v>0.694550308793902</v>
      </c>
    </row>
    <row r="54" spans="1:13" ht="18.75">
      <c r="A54" s="6">
        <v>440</v>
      </c>
      <c r="B54" s="6">
        <f t="shared" si="18"/>
        <v>0.99867355508061595</v>
      </c>
      <c r="C54" s="6">
        <f t="shared" si="18"/>
        <v>0.85192021997317602</v>
      </c>
      <c r="D54" s="6">
        <f t="shared" si="18"/>
        <v>0.61061603040629631</v>
      </c>
      <c r="E54" s="6">
        <f t="shared" si="18"/>
        <v>0.43333336833088199</v>
      </c>
      <c r="F54" s="6">
        <f t="shared" si="18"/>
        <v>0.18611517565707336</v>
      </c>
      <c r="G54" s="6">
        <f t="shared" si="11"/>
        <v>1.3264449193840511E-3</v>
      </c>
      <c r="H54" s="6">
        <f t="shared" si="12"/>
        <v>0.14675333510743993</v>
      </c>
      <c r="I54" s="6">
        <f t="shared" si="13"/>
        <v>0.24130418956687971</v>
      </c>
      <c r="J54" s="6">
        <f t="shared" si="14"/>
        <v>0.17728266207541432</v>
      </c>
      <c r="K54" s="6">
        <f t="shared" si="15"/>
        <v>0.24721819267380862</v>
      </c>
      <c r="L54" s="6">
        <f t="shared" si="16"/>
        <v>0.18611517565707336</v>
      </c>
      <c r="M54" s="12">
        <f t="shared" si="17"/>
        <v>0.69891397418036172</v>
      </c>
    </row>
    <row r="55" spans="1:13" ht="18.75">
      <c r="A55" s="6">
        <v>450</v>
      </c>
      <c r="B55" s="6">
        <f t="shared" si="18"/>
        <v>0.99874871115188402</v>
      </c>
      <c r="C55" s="6">
        <f t="shared" si="18"/>
        <v>0.85597285855912042</v>
      </c>
      <c r="D55" s="6">
        <f t="shared" si="18"/>
        <v>0.61738505311623504</v>
      </c>
      <c r="E55" s="6">
        <f t="shared" si="18"/>
        <v>0.44030390456102658</v>
      </c>
      <c r="F55" s="6">
        <f t="shared" si="18"/>
        <v>0.19089356157792692</v>
      </c>
      <c r="G55" s="6">
        <f t="shared" si="11"/>
        <v>1.2512888481159834E-3</v>
      </c>
      <c r="H55" s="6">
        <f t="shared" si="12"/>
        <v>0.1427758525927636</v>
      </c>
      <c r="I55" s="6">
        <f t="shared" si="13"/>
        <v>0.23858780544288538</v>
      </c>
      <c r="J55" s="6">
        <f t="shared" si="14"/>
        <v>0.17708114855520846</v>
      </c>
      <c r="K55" s="6">
        <f t="shared" si="15"/>
        <v>0.24941034298309966</v>
      </c>
      <c r="L55" s="6">
        <f t="shared" si="16"/>
        <v>0.19089356157792692</v>
      </c>
      <c r="M55" s="12">
        <f t="shared" si="17"/>
        <v>0.70316159754875651</v>
      </c>
    </row>
    <row r="56" spans="1:13" ht="18.75">
      <c r="A56" s="6">
        <v>460</v>
      </c>
      <c r="B56" s="6">
        <f t="shared" si="18"/>
        <v>0.99881842752898375</v>
      </c>
      <c r="C56" s="6">
        <f t="shared" si="18"/>
        <v>0.85986341650080678</v>
      </c>
      <c r="D56" s="6">
        <f t="shared" si="18"/>
        <v>0.62397080194443499</v>
      </c>
      <c r="E56" s="6">
        <f t="shared" si="18"/>
        <v>0.44713918815474735</v>
      </c>
      <c r="F56" s="6">
        <f t="shared" si="18"/>
        <v>0.19563900816088323</v>
      </c>
      <c r="G56" s="6">
        <f t="shared" si="11"/>
        <v>1.1815724710162456E-3</v>
      </c>
      <c r="H56" s="6">
        <f t="shared" si="12"/>
        <v>0.13895501102817698</v>
      </c>
      <c r="I56" s="6">
        <f t="shared" si="13"/>
        <v>0.23589261455637178</v>
      </c>
      <c r="J56" s="6">
        <f t="shared" si="14"/>
        <v>0.17683161378968765</v>
      </c>
      <c r="K56" s="6">
        <f t="shared" si="15"/>
        <v>0.25150017999386409</v>
      </c>
      <c r="L56" s="6">
        <f t="shared" si="16"/>
        <v>0.19563900816088323</v>
      </c>
      <c r="M56" s="12">
        <f t="shared" si="17"/>
        <v>0.70729794053285677</v>
      </c>
    </row>
    <row r="57" spans="1:13" ht="18.75">
      <c r="A57" s="6">
        <v>470</v>
      </c>
      <c r="B57" s="6">
        <f t="shared" si="18"/>
        <v>0.99888318448483726</v>
      </c>
      <c r="C57" s="6">
        <f t="shared" si="18"/>
        <v>0.86360058461773215</v>
      </c>
      <c r="D57" s="6">
        <f t="shared" si="18"/>
        <v>0.63038016469684532</v>
      </c>
      <c r="E57" s="6">
        <f t="shared" si="18"/>
        <v>0.4538427128141358</v>
      </c>
      <c r="F57" s="6">
        <f t="shared" si="18"/>
        <v>0.20035105475598752</v>
      </c>
      <c r="G57" s="6">
        <f t="shared" si="11"/>
        <v>1.116815515162739E-3</v>
      </c>
      <c r="H57" s="6">
        <f t="shared" si="12"/>
        <v>0.13528259986710511</v>
      </c>
      <c r="I57" s="6">
        <f t="shared" si="13"/>
        <v>0.23322041992088682</v>
      </c>
      <c r="J57" s="6">
        <f t="shared" si="14"/>
        <v>0.17653745188270953</v>
      </c>
      <c r="K57" s="6">
        <f t="shared" si="15"/>
        <v>0.25349165805814827</v>
      </c>
      <c r="L57" s="6">
        <f t="shared" si="16"/>
        <v>0.20035105475598752</v>
      </c>
      <c r="M57" s="12">
        <f t="shared" si="17"/>
        <v>0.71132749584757282</v>
      </c>
    </row>
    <row r="58" spans="1:13" ht="18.75">
      <c r="A58" s="6">
        <v>480</v>
      </c>
      <c r="B58" s="6">
        <f t="shared" si="18"/>
        <v>0.99894341227001593</v>
      </c>
      <c r="C58" s="6">
        <f t="shared" si="18"/>
        <v>0.86719246527973104</v>
      </c>
      <c r="D58" s="6">
        <f t="shared" si="18"/>
        <v>0.63661969923929129</v>
      </c>
      <c r="E58" s="6">
        <f t="shared" si="18"/>
        <v>0.46041787578141918</v>
      </c>
      <c r="F58" s="6">
        <f t="shared" si="18"/>
        <v>0.20502931191794066</v>
      </c>
      <c r="G58" s="6">
        <f t="shared" si="11"/>
        <v>1.0565877299840709E-3</v>
      </c>
      <c r="H58" s="6">
        <f t="shared" si="12"/>
        <v>0.13175094699028489</v>
      </c>
      <c r="I58" s="6">
        <f t="shared" si="13"/>
        <v>0.23057276604043975</v>
      </c>
      <c r="J58" s="6">
        <f t="shared" si="14"/>
        <v>0.17620182345787211</v>
      </c>
      <c r="K58" s="6">
        <f t="shared" si="15"/>
        <v>0.25538856386347852</v>
      </c>
      <c r="L58" s="6">
        <f t="shared" si="16"/>
        <v>0.20502931191794066</v>
      </c>
      <c r="M58" s="12">
        <f t="shared" si="17"/>
        <v>0.71525450675626656</v>
      </c>
    </row>
    <row r="59" spans="1:13" ht="18.75">
      <c r="A59" s="6">
        <v>490</v>
      </c>
      <c r="B59" s="6">
        <f t="shared" si="18"/>
        <v>0.99899949710657165</v>
      </c>
      <c r="C59" s="6">
        <f t="shared" si="18"/>
        <v>0.8706466206076563</v>
      </c>
      <c r="D59" s="6">
        <f t="shared" si="18"/>
        <v>0.64269565227588499</v>
      </c>
      <c r="E59" s="6">
        <f t="shared" si="18"/>
        <v>0.46686797877960595</v>
      </c>
      <c r="F59" s="6">
        <f t="shared" si="18"/>
        <v>0.20967345499595266</v>
      </c>
      <c r="G59" s="6">
        <f t="shared" si="11"/>
        <v>1.0005028934283455E-3</v>
      </c>
      <c r="H59" s="6">
        <f t="shared" si="12"/>
        <v>0.12835287649891536</v>
      </c>
      <c r="I59" s="6">
        <f t="shared" si="13"/>
        <v>0.22795096833177131</v>
      </c>
      <c r="J59" s="6">
        <f t="shared" si="14"/>
        <v>0.17582767349627904</v>
      </c>
      <c r="K59" s="6">
        <f t="shared" si="15"/>
        <v>0.25719452378365326</v>
      </c>
      <c r="L59" s="6">
        <f t="shared" si="16"/>
        <v>0.20967345499595266</v>
      </c>
      <c r="M59" s="12">
        <f t="shared" si="17"/>
        <v>0.71908298481406441</v>
      </c>
    </row>
    <row r="60" spans="1:13" ht="18.75">
      <c r="A60" s="6">
        <v>500</v>
      </c>
      <c r="B60" s="6">
        <f t="shared" ref="B60:F69" si="19">IF($A60&lt;=0,0,_xlfn.NORM.S.DIST((LN($A60)-C$5)/$B$6,TRUE()))</f>
        <v>0.9990517863714502</v>
      </c>
      <c r="C60" s="6">
        <f t="shared" si="19"/>
        <v>0.87397011604679187</v>
      </c>
      <c r="D60" s="6">
        <f t="shared" si="19"/>
        <v>0.64861397694679979</v>
      </c>
      <c r="E60" s="6">
        <f t="shared" si="19"/>
        <v>0.4731962293029458</v>
      </c>
      <c r="F60" s="6">
        <f t="shared" si="19"/>
        <v>0.21428321831314592</v>
      </c>
      <c r="G60" s="6">
        <f t="shared" si="11"/>
        <v>9.4821362854979885E-4</v>
      </c>
      <c r="H60" s="6">
        <f t="shared" si="12"/>
        <v>0.12508167032465833</v>
      </c>
      <c r="I60" s="6">
        <f t="shared" si="13"/>
        <v>0.22535613909999208</v>
      </c>
      <c r="J60" s="6">
        <f t="shared" si="14"/>
        <v>0.17541774764385398</v>
      </c>
      <c r="K60" s="6">
        <f t="shared" si="15"/>
        <v>0.25891301098979991</v>
      </c>
      <c r="L60" s="6">
        <f t="shared" si="16"/>
        <v>0.21428321831314592</v>
      </c>
      <c r="M60" s="12">
        <f t="shared" si="17"/>
        <v>0.72281672606801695</v>
      </c>
    </row>
    <row r="61" spans="1:13" ht="18.75">
      <c r="A61" s="6">
        <v>510</v>
      </c>
      <c r="B61" s="6">
        <f t="shared" si="19"/>
        <v>0.99910059309125543</v>
      </c>
      <c r="C61" s="6">
        <f t="shared" si="19"/>
        <v>0.87716955982118838</v>
      </c>
      <c r="D61" s="6">
        <f t="shared" si="19"/>
        <v>0.65438034931836053</v>
      </c>
      <c r="E61" s="6">
        <f t="shared" si="19"/>
        <v>0.479405742184488</v>
      </c>
      <c r="F61" s="6">
        <f t="shared" si="19"/>
        <v>0.21885838987619818</v>
      </c>
      <c r="G61" s="6">
        <f t="shared" si="11"/>
        <v>8.9940690874457108E-4</v>
      </c>
      <c r="H61" s="6">
        <f t="shared" si="12"/>
        <v>0.12193103327006705</v>
      </c>
      <c r="I61" s="6">
        <f t="shared" si="13"/>
        <v>0.22278921050282785</v>
      </c>
      <c r="J61" s="6">
        <f t="shared" si="14"/>
        <v>0.17497460713387253</v>
      </c>
      <c r="K61" s="6">
        <f t="shared" si="15"/>
        <v>0.26054735230828985</v>
      </c>
      <c r="L61" s="6">
        <f t="shared" si="16"/>
        <v>0.21885838987619818</v>
      </c>
      <c r="M61" s="12">
        <f t="shared" si="17"/>
        <v>0.72645932587299411</v>
      </c>
    </row>
    <row r="62" spans="1:13" ht="18.75">
      <c r="A62" s="6">
        <v>520</v>
      </c>
      <c r="B62" s="6">
        <f t="shared" si="19"/>
        <v>0.99914619985005582</v>
      </c>
      <c r="C62" s="6">
        <f t="shared" si="19"/>
        <v>0.88025113871446314</v>
      </c>
      <c r="D62" s="6">
        <f t="shared" si="19"/>
        <v>0.6600001838355134</v>
      </c>
      <c r="E62" s="6">
        <f t="shared" si="19"/>
        <v>0.48549954138021134</v>
      </c>
      <c r="F62" s="6">
        <f t="shared" si="19"/>
        <v>0.2233988065625066</v>
      </c>
      <c r="G62" s="6">
        <f t="shared" si="11"/>
        <v>8.5380014994418385E-4</v>
      </c>
      <c r="H62" s="6">
        <f t="shared" si="12"/>
        <v>0.11889506113559267</v>
      </c>
      <c r="I62" s="6">
        <f t="shared" si="13"/>
        <v>0.22025095487894975</v>
      </c>
      <c r="J62" s="6">
        <f t="shared" si="14"/>
        <v>0.17450064245530206</v>
      </c>
      <c r="K62" s="6">
        <f t="shared" si="15"/>
        <v>0.26210073481770474</v>
      </c>
      <c r="L62" s="6">
        <f t="shared" si="16"/>
        <v>0.2233988065625066</v>
      </c>
      <c r="M62" s="12">
        <f t="shared" si="17"/>
        <v>0.73001419246329036</v>
      </c>
    </row>
    <row r="63" spans="1:13" ht="18.75">
      <c r="A63" s="6">
        <v>530</v>
      </c>
      <c r="B63" s="6">
        <f t="shared" si="19"/>
        <v>0.9991888621954309</v>
      </c>
      <c r="C63" s="6">
        <f t="shared" si="19"/>
        <v>0.88322065056849253</v>
      </c>
      <c r="D63" s="6">
        <f t="shared" si="19"/>
        <v>0.66547864780347088</v>
      </c>
      <c r="E63" s="6">
        <f t="shared" si="19"/>
        <v>0.49148056191935952</v>
      </c>
      <c r="F63" s="6">
        <f t="shared" si="19"/>
        <v>0.22790434973793267</v>
      </c>
      <c r="G63" s="6">
        <f t="shared" si="11"/>
        <v>8.1113780456909534E-4</v>
      </c>
      <c r="H63" s="6">
        <f t="shared" si="12"/>
        <v>0.11596821162693838</v>
      </c>
      <c r="I63" s="6">
        <f t="shared" si="13"/>
        <v>0.21774200276502165</v>
      </c>
      <c r="J63" s="6">
        <f t="shared" si="14"/>
        <v>0.17399808588411136</v>
      </c>
      <c r="K63" s="6">
        <f t="shared" si="15"/>
        <v>0.26357621218142685</v>
      </c>
      <c r="L63" s="6">
        <f t="shared" si="16"/>
        <v>0.22790434973793267</v>
      </c>
      <c r="M63" s="12">
        <f t="shared" si="17"/>
        <v>0.73348455940354573</v>
      </c>
    </row>
    <row r="64" spans="1:13" ht="18.75">
      <c r="A64" s="6">
        <v>540</v>
      </c>
      <c r="B64" s="6">
        <f t="shared" si="19"/>
        <v>0.99922881161438259</v>
      </c>
      <c r="C64" s="6">
        <f t="shared" si="19"/>
        <v>0.88608353384458083</v>
      </c>
      <c r="D64" s="6">
        <f t="shared" si="19"/>
        <v>0.67082067496187048</v>
      </c>
      <c r="E64" s="6">
        <f t="shared" si="19"/>
        <v>0.49735165197911441</v>
      </c>
      <c r="F64" s="6">
        <f t="shared" si="19"/>
        <v>0.23237494126327876</v>
      </c>
      <c r="G64" s="6">
        <f t="shared" si="11"/>
        <v>7.711883856174051E-4</v>
      </c>
      <c r="H64" s="6">
        <f t="shared" si="12"/>
        <v>0.11314527776980177</v>
      </c>
      <c r="I64" s="6">
        <f t="shared" si="13"/>
        <v>0.21526285888271035</v>
      </c>
      <c r="J64" s="6">
        <f t="shared" si="14"/>
        <v>0.17346902298275607</v>
      </c>
      <c r="K64" s="6">
        <f t="shared" si="15"/>
        <v>0.26497671071583562</v>
      </c>
      <c r="L64" s="6">
        <f t="shared" si="16"/>
        <v>0.23237494126327876</v>
      </c>
      <c r="M64" s="12">
        <f t="shared" si="17"/>
        <v>0.73687349702840355</v>
      </c>
    </row>
    <row r="65" spans="1:13" ht="18.75">
      <c r="A65" s="6">
        <v>550</v>
      </c>
      <c r="B65" s="6">
        <f t="shared" si="19"/>
        <v>0.99926625813950321</v>
      </c>
      <c r="C65" s="6">
        <f t="shared" si="19"/>
        <v>0.88884489455104676</v>
      </c>
      <c r="D65" s="6">
        <f t="shared" si="19"/>
        <v>0.67603097821123193</v>
      </c>
      <c r="E65" s="6">
        <f t="shared" si="19"/>
        <v>0.50311557504884075</v>
      </c>
      <c r="F65" s="6">
        <f t="shared" si="19"/>
        <v>0.23681053985212089</v>
      </c>
      <c r="G65" s="6">
        <f t="shared" si="11"/>
        <v>7.3374186049679491E-4</v>
      </c>
      <c r="H65" s="6">
        <f t="shared" si="12"/>
        <v>0.11042136358845644</v>
      </c>
      <c r="I65" s="6">
        <f t="shared" si="13"/>
        <v>0.21281391633981483</v>
      </c>
      <c r="J65" s="6">
        <f t="shared" si="14"/>
        <v>0.17291540316239118</v>
      </c>
      <c r="K65" s="6">
        <f t="shared" si="15"/>
        <v>0.26630503519671989</v>
      </c>
      <c r="L65" s="6">
        <f t="shared" si="16"/>
        <v>0.23681053985212089</v>
      </c>
      <c r="M65" s="12">
        <f t="shared" si="17"/>
        <v>0.74018392296798363</v>
      </c>
    </row>
    <row r="66" spans="1:13" ht="18.75">
      <c r="A66" s="6">
        <v>560</v>
      </c>
      <c r="B66" s="6">
        <f t="shared" si="19"/>
        <v>0.99930139263648177</v>
      </c>
      <c r="C66" s="6">
        <f t="shared" si="19"/>
        <v>0.89150953080583584</v>
      </c>
      <c r="D66" s="6">
        <f t="shared" si="19"/>
        <v>0.68111406154796383</v>
      </c>
      <c r="E66" s="6">
        <f t="shared" si="19"/>
        <v>0.50877501215509402</v>
      </c>
      <c r="F66" s="6">
        <f t="shared" si="19"/>
        <v>0.24121113774658715</v>
      </c>
      <c r="G66" s="6">
        <f t="shared" si="11"/>
        <v>6.9860736351823327E-4</v>
      </c>
      <c r="H66" s="6">
        <f t="shared" si="12"/>
        <v>0.10779186183064593</v>
      </c>
      <c r="I66" s="6">
        <f t="shared" si="13"/>
        <v>0.210395469257872</v>
      </c>
      <c r="J66" s="6">
        <f t="shared" si="14"/>
        <v>0.17233904939286981</v>
      </c>
      <c r="K66" s="6">
        <f t="shared" si="15"/>
        <v>0.26756387440850687</v>
      </c>
      <c r="L66" s="6">
        <f t="shared" si="16"/>
        <v>0.24121113774658715</v>
      </c>
      <c r="M66" s="12">
        <f t="shared" si="17"/>
        <v>0.74341861184549307</v>
      </c>
    </row>
    <row r="67" spans="1:13" ht="18.75">
      <c r="A67" s="6">
        <v>570</v>
      </c>
      <c r="B67" s="6">
        <f t="shared" si="19"/>
        <v>0.99933438881627668</v>
      </c>
      <c r="C67" s="6">
        <f t="shared" si="19"/>
        <v>0.89408195527197176</v>
      </c>
      <c r="D67" s="6">
        <f t="shared" si="19"/>
        <v>0.68607423126067435</v>
      </c>
      <c r="E67" s="6">
        <f t="shared" si="19"/>
        <v>0.51433256412356165</v>
      </c>
      <c r="F67" s="6">
        <f t="shared" si="19"/>
        <v>0.24557675768114973</v>
      </c>
      <c r="G67" s="6">
        <f t="shared" si="11"/>
        <v>6.6561118372332473E-4</v>
      </c>
      <c r="H67" s="6">
        <f t="shared" si="12"/>
        <v>0.10525243354430491</v>
      </c>
      <c r="I67" s="6">
        <f t="shared" si="13"/>
        <v>0.20800772401129741</v>
      </c>
      <c r="J67" s="6">
        <f t="shared" si="14"/>
        <v>0.1717416671371127</v>
      </c>
      <c r="K67" s="6">
        <f t="shared" si="15"/>
        <v>0.26875580644241193</v>
      </c>
      <c r="L67" s="6">
        <f t="shared" si="16"/>
        <v>0.24557675768114973</v>
      </c>
      <c r="M67" s="12">
        <f t="shared" si="17"/>
        <v>0.74658020422387994</v>
      </c>
    </row>
    <row r="68" spans="1:13" ht="18.75">
      <c r="A68" s="6">
        <v>580</v>
      </c>
      <c r="B68" s="6">
        <f t="shared" si="19"/>
        <v>0.99936540500881066</v>
      </c>
      <c r="C68" s="6">
        <f t="shared" si="19"/>
        <v>0.8965664156767843</v>
      </c>
      <c r="D68" s="6">
        <f t="shared" si="19"/>
        <v>0.6909156064371853</v>
      </c>
      <c r="E68" s="6">
        <f t="shared" si="19"/>
        <v>0.51979075385830742</v>
      </c>
      <c r="F68" s="6">
        <f t="shared" si="19"/>
        <v>0.24990745010760879</v>
      </c>
      <c r="G68" s="6">
        <f t="shared" si="11"/>
        <v>6.3459499118934115E-4</v>
      </c>
      <c r="H68" s="6">
        <f t="shared" si="12"/>
        <v>0.10279898933202636</v>
      </c>
      <c r="I68" s="6">
        <f t="shared" si="13"/>
        <v>0.205650809239599</v>
      </c>
      <c r="J68" s="6">
        <f t="shared" si="14"/>
        <v>0.17112485257887788</v>
      </c>
      <c r="K68" s="6">
        <f t="shared" si="15"/>
        <v>0.26988330375069863</v>
      </c>
      <c r="L68" s="6">
        <f t="shared" si="16"/>
        <v>0.24990745010760879</v>
      </c>
      <c r="M68" s="12">
        <f t="shared" si="17"/>
        <v>0.74967121487020205</v>
      </c>
    </row>
    <row r="69" spans="1:13" ht="18.75">
      <c r="A69" s="6">
        <v>590</v>
      </c>
      <c r="B69" s="6">
        <f t="shared" si="19"/>
        <v>0.99939458572962325</v>
      </c>
      <c r="C69" s="6">
        <f t="shared" si="19"/>
        <v>0.89896691360233294</v>
      </c>
      <c r="D69" s="6">
        <f t="shared" si="19"/>
        <v>0.6956421288283916</v>
      </c>
      <c r="E69" s="6">
        <f t="shared" si="19"/>
        <v>0.52515202862219357</v>
      </c>
      <c r="F69" s="6">
        <f t="shared" si="19"/>
        <v>0.25420329065717673</v>
      </c>
      <c r="G69" s="6">
        <f t="shared" si="11"/>
        <v>6.0541427037674733E-4</v>
      </c>
      <c r="H69" s="6">
        <f t="shared" si="12"/>
        <v>0.10042767212729031</v>
      </c>
      <c r="I69" s="6">
        <f t="shared" si="13"/>
        <v>0.20332478477394134</v>
      </c>
      <c r="J69" s="6">
        <f t="shared" si="14"/>
        <v>0.17049010020619804</v>
      </c>
      <c r="K69" s="6">
        <f t="shared" si="15"/>
        <v>0.27094873796501684</v>
      </c>
      <c r="L69" s="6">
        <f t="shared" si="16"/>
        <v>0.25420329065717673</v>
      </c>
      <c r="M69" s="12">
        <f t="shared" si="17"/>
        <v>0.75269404039913368</v>
      </c>
    </row>
    <row r="70" spans="1:13" ht="18.75">
      <c r="A70" s="6">
        <v>600</v>
      </c>
      <c r="B70" s="6">
        <f t="shared" ref="B70:F79" si="20">IF($A70&lt;=0,0,_xlfn.NORM.S.DIST((LN($A70)-C$5)/$B$6,TRUE()))</f>
        <v>0.99942206306636405</v>
      </c>
      <c r="C70" s="6">
        <f t="shared" si="20"/>
        <v>0.90128722171383346</v>
      </c>
      <c r="D70" s="6">
        <f t="shared" si="20"/>
        <v>0.70025757211202844</v>
      </c>
      <c r="E70" s="6">
        <f t="shared" si="20"/>
        <v>0.53041876230530849</v>
      </c>
      <c r="F70" s="6">
        <f t="shared" si="20"/>
        <v>0.25846437781801052</v>
      </c>
      <c r="G70" s="6">
        <f t="shared" si="11"/>
        <v>5.7793693363594745E-4</v>
      </c>
      <c r="H70" s="6">
        <f t="shared" si="12"/>
        <v>9.8134841352530588E-2</v>
      </c>
      <c r="I70" s="6">
        <f t="shared" si="13"/>
        <v>0.20102964960180503</v>
      </c>
      <c r="J70" s="6">
        <f t="shared" si="14"/>
        <v>0.16983880980671995</v>
      </c>
      <c r="K70" s="6">
        <f t="shared" si="15"/>
        <v>0.27195438448729797</v>
      </c>
      <c r="L70" s="6">
        <f t="shared" si="16"/>
        <v>0.25846437781801052</v>
      </c>
      <c r="M70" s="12">
        <f t="shared" si="17"/>
        <v>0.75565096635065387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0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F4" sqref="F4"/>
    </sheetView>
  </sheetViews>
  <sheetFormatPr defaultColWidth="8.7109375" defaultRowHeight="15"/>
  <cols>
    <col min="1" max="1" width="12" customWidth="1"/>
    <col min="2" max="14" width="15" customWidth="1"/>
  </cols>
  <sheetData>
    <row r="1" spans="1:13">
      <c r="A1" s="1" t="s">
        <v>52</v>
      </c>
    </row>
    <row r="3" spans="1:13">
      <c r="A3" s="6" t="s">
        <v>21</v>
      </c>
      <c r="B3" s="5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</row>
    <row r="4" spans="1:13" ht="18.75">
      <c r="A4" s="6" t="s">
        <v>35</v>
      </c>
      <c r="B4" s="8">
        <f>データ!$E$20</f>
        <v>0</v>
      </c>
      <c r="C4" s="8">
        <f>データ!$E$21</f>
        <v>0.25</v>
      </c>
      <c r="D4" s="8">
        <f>データ!$E$22</f>
        <v>0.5</v>
      </c>
      <c r="E4" s="8">
        <f>データ!$E$23</f>
        <v>0.75</v>
      </c>
      <c r="F4" s="8">
        <f>データ!$E$24</f>
        <v>0.9</v>
      </c>
      <c r="G4" s="8">
        <f>データ!$E$25</f>
        <v>1</v>
      </c>
    </row>
    <row r="5" spans="1:13" ht="18.75">
      <c r="A5" s="4" t="s">
        <v>36</v>
      </c>
      <c r="C5" s="10">
        <f>データ!$F$5</f>
        <v>2.0499999999999998</v>
      </c>
      <c r="D5" s="10">
        <f>データ!$F$6</f>
        <v>4.04</v>
      </c>
      <c r="E5" s="10">
        <f>データ!$F$7</f>
        <v>5.0599999999999996</v>
      </c>
      <c r="F5" s="10">
        <f>データ!$F$8</f>
        <v>5.61</v>
      </c>
      <c r="G5" s="10">
        <f>データ!$F$9</f>
        <v>6.06</v>
      </c>
    </row>
    <row r="6" spans="1:13" ht="18.75">
      <c r="A6" s="4" t="s">
        <v>14</v>
      </c>
      <c r="B6" s="10">
        <f>データ!$F$10</f>
        <v>1.51</v>
      </c>
    </row>
    <row r="7" spans="1:13" ht="18.75">
      <c r="A7" s="11"/>
    </row>
    <row r="9" spans="1:13" ht="37.5">
      <c r="A9" s="5" t="s">
        <v>37</v>
      </c>
      <c r="B9" s="5" t="s">
        <v>38</v>
      </c>
      <c r="C9" s="5" t="s">
        <v>39</v>
      </c>
      <c r="D9" s="5" t="s">
        <v>40</v>
      </c>
      <c r="E9" s="5" t="s">
        <v>48</v>
      </c>
      <c r="F9" s="5" t="s">
        <v>49</v>
      </c>
      <c r="G9" s="5" t="s">
        <v>41</v>
      </c>
      <c r="H9" s="5" t="s">
        <v>42</v>
      </c>
      <c r="I9" s="5" t="s">
        <v>43</v>
      </c>
      <c r="J9" s="5" t="s">
        <v>44</v>
      </c>
      <c r="K9" s="5" t="s">
        <v>50</v>
      </c>
      <c r="L9" s="5" t="s">
        <v>51</v>
      </c>
      <c r="M9" s="5" t="s">
        <v>35</v>
      </c>
    </row>
    <row r="10" spans="1:13" ht="18.75">
      <c r="A10" s="6">
        <v>0</v>
      </c>
      <c r="B10" s="6">
        <f t="shared" ref="B10:F19" si="0">IF($A10&lt;=0,0,_xlfn.NORM.S.DIST((LN($A10)-C$5)/$B$6,TRUE()))</f>
        <v>0</v>
      </c>
      <c r="C10" s="6">
        <f t="shared" si="0"/>
        <v>0</v>
      </c>
      <c r="D10" s="6">
        <f t="shared" si="0"/>
        <v>0</v>
      </c>
      <c r="E10" s="6">
        <f t="shared" si="0"/>
        <v>0</v>
      </c>
      <c r="F10" s="6">
        <f t="shared" si="0"/>
        <v>0</v>
      </c>
      <c r="G10" s="6">
        <f t="shared" ref="G10:G41" si="1">1-B10</f>
        <v>1</v>
      </c>
      <c r="H10" s="6">
        <f t="shared" ref="H10:H41" si="2">B10-C10</f>
        <v>0</v>
      </c>
      <c r="I10" s="6">
        <f t="shared" ref="I10:I41" si="3">C10-D10</f>
        <v>0</v>
      </c>
      <c r="J10" s="6">
        <f t="shared" ref="J10:J41" si="4">D10-E10</f>
        <v>0</v>
      </c>
      <c r="K10" s="6">
        <f t="shared" ref="K10:K41" si="5">E10-F10</f>
        <v>0</v>
      </c>
      <c r="L10" s="6">
        <f t="shared" ref="L10:L41" si="6">F10</f>
        <v>0</v>
      </c>
      <c r="M10" s="12">
        <f t="shared" ref="M10:M41" si="7">G10*$B$4+H10*$C$4+I10*$D$4+J10*$E$4+K10*$F$4+L10*$G$4</f>
        <v>0</v>
      </c>
    </row>
    <row r="11" spans="1:13" ht="18.75">
      <c r="A11" s="6">
        <v>10</v>
      </c>
      <c r="B11" s="6">
        <f t="shared" si="0"/>
        <v>0.56642312205247503</v>
      </c>
      <c r="C11" s="6">
        <f t="shared" si="0"/>
        <v>0.12494720259252633</v>
      </c>
      <c r="D11" s="6">
        <f t="shared" si="0"/>
        <v>3.3917405277507903E-2</v>
      </c>
      <c r="E11" s="6">
        <f t="shared" si="0"/>
        <v>1.4249757801449634E-2</v>
      </c>
      <c r="F11" s="6">
        <f t="shared" si="0"/>
        <v>6.4167915518672999E-3</v>
      </c>
      <c r="G11" s="6">
        <f t="shared" si="1"/>
        <v>0.43357687794752497</v>
      </c>
      <c r="H11" s="6">
        <f t="shared" si="2"/>
        <v>0.44147591945994868</v>
      </c>
      <c r="I11" s="6">
        <f t="shared" si="3"/>
        <v>9.1029797315018424E-2</v>
      </c>
      <c r="J11" s="6">
        <f t="shared" si="4"/>
        <v>1.9667647476058269E-2</v>
      </c>
      <c r="K11" s="6">
        <f t="shared" si="5"/>
        <v>7.8329662495823342E-3</v>
      </c>
      <c r="L11" s="6">
        <f t="shared" si="6"/>
        <v>6.4167915518672999E-3</v>
      </c>
      <c r="M11" s="12">
        <f t="shared" si="7"/>
        <v>0.18410107530603151</v>
      </c>
    </row>
    <row r="12" spans="1:13" ht="18.75">
      <c r="A12" s="6">
        <v>20</v>
      </c>
      <c r="B12" s="6">
        <f t="shared" si="0"/>
        <v>0.73444509203301134</v>
      </c>
      <c r="C12" s="6">
        <f t="shared" si="0"/>
        <v>0.24460432198955911</v>
      </c>
      <c r="D12" s="6">
        <f t="shared" si="0"/>
        <v>8.580251024722764E-2</v>
      </c>
      <c r="E12" s="6">
        <f t="shared" si="0"/>
        <v>4.1698856738167839E-2</v>
      </c>
      <c r="F12" s="6">
        <f t="shared" si="0"/>
        <v>2.1213038242656235E-2</v>
      </c>
      <c r="G12" s="6">
        <f t="shared" si="1"/>
        <v>0.26555490796698866</v>
      </c>
      <c r="H12" s="6">
        <f t="shared" si="2"/>
        <v>0.48984077004345222</v>
      </c>
      <c r="I12" s="6">
        <f t="shared" si="3"/>
        <v>0.15880181174233149</v>
      </c>
      <c r="J12" s="6">
        <f t="shared" si="4"/>
        <v>4.4103653509059801E-2</v>
      </c>
      <c r="K12" s="6">
        <f t="shared" si="5"/>
        <v>2.0485818495511603E-2</v>
      </c>
      <c r="L12" s="6">
        <f t="shared" si="6"/>
        <v>2.1213038242656235E-2</v>
      </c>
      <c r="M12" s="12">
        <f t="shared" si="7"/>
        <v>0.27458911340244035</v>
      </c>
    </row>
    <row r="13" spans="1:13" ht="18.75">
      <c r="A13" s="6">
        <v>30</v>
      </c>
      <c r="B13" s="6">
        <f t="shared" si="0"/>
        <v>0.81456173721221337</v>
      </c>
      <c r="C13" s="6">
        <f t="shared" si="0"/>
        <v>0.33613008683418721</v>
      </c>
      <c r="D13" s="6">
        <f t="shared" si="0"/>
        <v>0.13598333747303193</v>
      </c>
      <c r="E13" s="6">
        <f t="shared" si="0"/>
        <v>7.1763356985954166E-2</v>
      </c>
      <c r="F13" s="6">
        <f t="shared" si="0"/>
        <v>3.9136431649234707E-2</v>
      </c>
      <c r="G13" s="6">
        <f t="shared" si="1"/>
        <v>0.18543826278778663</v>
      </c>
      <c r="H13" s="6">
        <f t="shared" si="2"/>
        <v>0.47843165037802615</v>
      </c>
      <c r="I13" s="6">
        <f t="shared" si="3"/>
        <v>0.20014674936115529</v>
      </c>
      <c r="J13" s="6">
        <f t="shared" si="4"/>
        <v>6.4219980487077763E-2</v>
      </c>
      <c r="K13" s="6">
        <f t="shared" si="5"/>
        <v>3.2626925336719459E-2</v>
      </c>
      <c r="L13" s="6">
        <f t="shared" si="6"/>
        <v>3.9136431649234707E-2</v>
      </c>
      <c r="M13" s="12">
        <f t="shared" si="7"/>
        <v>0.33634693709267471</v>
      </c>
    </row>
    <row r="14" spans="1:13" ht="18.75">
      <c r="A14" s="6">
        <v>40</v>
      </c>
      <c r="B14" s="6">
        <f t="shared" si="0"/>
        <v>0.86111680559830939</v>
      </c>
      <c r="C14" s="6">
        <f t="shared" si="0"/>
        <v>0.40806313129674315</v>
      </c>
      <c r="D14" s="6">
        <f t="shared" si="0"/>
        <v>0.18193201758939609</v>
      </c>
      <c r="E14" s="6">
        <f t="shared" si="0"/>
        <v>0.10163944331484336</v>
      </c>
      <c r="F14" s="6">
        <f t="shared" si="0"/>
        <v>5.817516605813846E-2</v>
      </c>
      <c r="G14" s="6">
        <f t="shared" si="1"/>
        <v>0.13888319440169061</v>
      </c>
      <c r="H14" s="6">
        <f t="shared" si="2"/>
        <v>0.45305367430156623</v>
      </c>
      <c r="I14" s="6">
        <f t="shared" si="3"/>
        <v>0.22613111370734706</v>
      </c>
      <c r="J14" s="6">
        <f t="shared" si="4"/>
        <v>8.0292574274552733E-2</v>
      </c>
      <c r="K14" s="6">
        <f t="shared" si="5"/>
        <v>4.3464277256704896E-2</v>
      </c>
      <c r="L14" s="6">
        <f t="shared" si="6"/>
        <v>5.817516605813846E-2</v>
      </c>
      <c r="M14" s="12">
        <f t="shared" si="7"/>
        <v>0.38384142172415253</v>
      </c>
    </row>
    <row r="15" spans="1:13" ht="18.75">
      <c r="A15" s="6">
        <v>50</v>
      </c>
      <c r="B15" s="6">
        <f t="shared" si="0"/>
        <v>0.89123595986870552</v>
      </c>
      <c r="C15" s="6">
        <f t="shared" si="0"/>
        <v>0.46622888912587446</v>
      </c>
      <c r="D15" s="6">
        <f t="shared" si="0"/>
        <v>0.22355268145446669</v>
      </c>
      <c r="E15" s="6">
        <f t="shared" si="0"/>
        <v>0.13040301313770136</v>
      </c>
      <c r="F15" s="6">
        <f t="shared" si="0"/>
        <v>7.744038416191279E-2</v>
      </c>
      <c r="G15" s="6">
        <f t="shared" si="1"/>
        <v>0.10876404013129448</v>
      </c>
      <c r="H15" s="6">
        <f t="shared" si="2"/>
        <v>0.42500707074283106</v>
      </c>
      <c r="I15" s="6">
        <f t="shared" si="3"/>
        <v>0.24267620767140777</v>
      </c>
      <c r="J15" s="6">
        <f t="shared" si="4"/>
        <v>9.3149668316765327E-2</v>
      </c>
      <c r="K15" s="6">
        <f t="shared" si="5"/>
        <v>5.2962628975788573E-2</v>
      </c>
      <c r="L15" s="6">
        <f t="shared" si="6"/>
        <v>7.744038416191279E-2</v>
      </c>
      <c r="M15" s="12">
        <f t="shared" si="7"/>
        <v>0.42255887299910816</v>
      </c>
    </row>
    <row r="16" spans="1:13" ht="18.75">
      <c r="A16" s="6">
        <v>60</v>
      </c>
      <c r="B16" s="6">
        <f t="shared" si="0"/>
        <v>0.91211116303792616</v>
      </c>
      <c r="C16" s="6">
        <f t="shared" si="0"/>
        <v>0.5143547444998291</v>
      </c>
      <c r="D16" s="6">
        <f t="shared" si="0"/>
        <v>0.26124660913999065</v>
      </c>
      <c r="E16" s="6">
        <f t="shared" si="0"/>
        <v>0.15775069251541637</v>
      </c>
      <c r="F16" s="6">
        <f t="shared" si="0"/>
        <v>9.6499465624182074E-2</v>
      </c>
      <c r="G16" s="6">
        <f t="shared" si="1"/>
        <v>8.7888836962073835E-2</v>
      </c>
      <c r="H16" s="6">
        <f t="shared" si="2"/>
        <v>0.39775641853809707</v>
      </c>
      <c r="I16" s="6">
        <f t="shared" si="3"/>
        <v>0.25310813535983845</v>
      </c>
      <c r="J16" s="6">
        <f t="shared" si="4"/>
        <v>0.10349591662457427</v>
      </c>
      <c r="K16" s="6">
        <f t="shared" si="5"/>
        <v>6.1251226891234301E-2</v>
      </c>
      <c r="L16" s="6">
        <f t="shared" si="6"/>
        <v>9.6499465624182074E-2</v>
      </c>
      <c r="M16" s="12">
        <f t="shared" si="7"/>
        <v>0.45524067960916714</v>
      </c>
    </row>
    <row r="17" spans="1:13" ht="18.75">
      <c r="A17" s="6">
        <v>70</v>
      </c>
      <c r="B17" s="6">
        <f t="shared" si="0"/>
        <v>0.92729776228609262</v>
      </c>
      <c r="C17" s="6">
        <f t="shared" si="0"/>
        <v>0.55490994949813133</v>
      </c>
      <c r="D17" s="6">
        <f t="shared" si="0"/>
        <v>0.2954886380871527</v>
      </c>
      <c r="E17" s="6">
        <f t="shared" si="0"/>
        <v>0.18361907793394119</v>
      </c>
      <c r="F17" s="6">
        <f t="shared" si="0"/>
        <v>0.11513337090065792</v>
      </c>
      <c r="G17" s="6">
        <f t="shared" si="1"/>
        <v>7.2702237713907381E-2</v>
      </c>
      <c r="H17" s="6">
        <f t="shared" si="2"/>
        <v>0.37238781278796129</v>
      </c>
      <c r="I17" s="6">
        <f t="shared" si="3"/>
        <v>0.25942131141097863</v>
      </c>
      <c r="J17" s="6">
        <f t="shared" si="4"/>
        <v>0.11186956015321151</v>
      </c>
      <c r="K17" s="6">
        <f t="shared" si="5"/>
        <v>6.8485707033283272E-2</v>
      </c>
      <c r="L17" s="6">
        <f t="shared" si="6"/>
        <v>0.11513337090065792</v>
      </c>
      <c r="M17" s="12">
        <f t="shared" si="7"/>
        <v>0.4834802862480011</v>
      </c>
    </row>
    <row r="18" spans="1:13" ht="18.75">
      <c r="A18" s="6">
        <v>80</v>
      </c>
      <c r="B18" s="6">
        <f t="shared" si="0"/>
        <v>0.93875287782184613</v>
      </c>
      <c r="C18" s="6">
        <f t="shared" si="0"/>
        <v>0.58959671641940303</v>
      </c>
      <c r="D18" s="6">
        <f t="shared" si="0"/>
        <v>0.32671980180422378</v>
      </c>
      <c r="E18" s="6">
        <f t="shared" si="0"/>
        <v>0.20804384796393083</v>
      </c>
      <c r="F18" s="6">
        <f t="shared" si="0"/>
        <v>0.13323239142093557</v>
      </c>
      <c r="G18" s="6">
        <f t="shared" si="1"/>
        <v>6.1247122178153868E-2</v>
      </c>
      <c r="H18" s="6">
        <f t="shared" si="2"/>
        <v>0.3491561614024431</v>
      </c>
      <c r="I18" s="6">
        <f t="shared" si="3"/>
        <v>0.26287691461517926</v>
      </c>
      <c r="J18" s="6">
        <f t="shared" si="4"/>
        <v>0.11867595384029295</v>
      </c>
      <c r="K18" s="6">
        <f t="shared" si="5"/>
        <v>7.4811456542995258E-2</v>
      </c>
      <c r="L18" s="6">
        <f t="shared" si="6"/>
        <v>0.13323239142093557</v>
      </c>
      <c r="M18" s="12">
        <f t="shared" si="7"/>
        <v>0.50829716534805147</v>
      </c>
    </row>
    <row r="19" spans="1:13" ht="18.75">
      <c r="A19" s="6">
        <v>90</v>
      </c>
      <c r="B19" s="6">
        <f t="shared" si="0"/>
        <v>0.94764012009735721</v>
      </c>
      <c r="C19" s="6">
        <f t="shared" si="0"/>
        <v>0.61963020394037283</v>
      </c>
      <c r="D19" s="6">
        <f t="shared" si="0"/>
        <v>0.35532361714757377</v>
      </c>
      <c r="E19" s="6">
        <f t="shared" si="0"/>
        <v>0.23110112107623618</v>
      </c>
      <c r="F19" s="6">
        <f t="shared" si="0"/>
        <v>0.15074611977235905</v>
      </c>
      <c r="G19" s="6">
        <f t="shared" si="1"/>
        <v>5.2359879902642792E-2</v>
      </c>
      <c r="H19" s="6">
        <f t="shared" si="2"/>
        <v>0.32800991615698438</v>
      </c>
      <c r="I19" s="6">
        <f t="shared" si="3"/>
        <v>0.26430658679279906</v>
      </c>
      <c r="J19" s="6">
        <f t="shared" si="4"/>
        <v>0.12422249607133759</v>
      </c>
      <c r="K19" s="6">
        <f t="shared" si="5"/>
        <v>8.0355001303877127E-2</v>
      </c>
      <c r="L19" s="6">
        <f t="shared" si="6"/>
        <v>0.15074611977235905</v>
      </c>
      <c r="M19" s="12">
        <f t="shared" si="7"/>
        <v>0.53038826543499729</v>
      </c>
    </row>
    <row r="20" spans="1:13" ht="18.75">
      <c r="A20" s="6">
        <v>100</v>
      </c>
      <c r="B20" s="6">
        <f t="shared" ref="B20:F29" si="8">IF($A20&lt;=0,0,_xlfn.NORM.S.DIST((LN($A20)-C$5)/$B$6,TRUE()))</f>
        <v>0.95469280646289034</v>
      </c>
      <c r="C20" s="6">
        <f t="shared" si="8"/>
        <v>0.6459038142553607</v>
      </c>
      <c r="D20" s="6">
        <f t="shared" si="8"/>
        <v>0.38162649717396785</v>
      </c>
      <c r="E20" s="6">
        <f t="shared" si="8"/>
        <v>0.25288129037295148</v>
      </c>
      <c r="F20" s="6">
        <f t="shared" si="8"/>
        <v>0.16765749818399439</v>
      </c>
      <c r="G20" s="6">
        <f t="shared" si="1"/>
        <v>4.5307193537109658E-2</v>
      </c>
      <c r="H20" s="6">
        <f t="shared" si="2"/>
        <v>0.30878899220752964</v>
      </c>
      <c r="I20" s="6">
        <f t="shared" si="3"/>
        <v>0.26427731708139285</v>
      </c>
      <c r="J20" s="6">
        <f t="shared" si="4"/>
        <v>0.12874520680101637</v>
      </c>
      <c r="K20" s="6">
        <f t="shared" si="5"/>
        <v>8.5223792188957093E-2</v>
      </c>
      <c r="L20" s="6">
        <f t="shared" si="6"/>
        <v>0.16765749818399439</v>
      </c>
      <c r="M20" s="12">
        <f t="shared" si="7"/>
        <v>0.55025372284739693</v>
      </c>
    </row>
    <row r="21" spans="1:13" ht="18.75">
      <c r="A21" s="6">
        <v>110</v>
      </c>
      <c r="B21" s="6">
        <f t="shared" si="8"/>
        <v>0.96039471543555466</v>
      </c>
      <c r="C21" s="6">
        <f t="shared" si="8"/>
        <v>0.66909088634787239</v>
      </c>
      <c r="D21" s="6">
        <f t="shared" si="8"/>
        <v>0.40590468629281429</v>
      </c>
      <c r="E21" s="6">
        <f t="shared" si="8"/>
        <v>0.27347695356842378</v>
      </c>
      <c r="F21" s="6">
        <f t="shared" si="8"/>
        <v>0.1839685719787271</v>
      </c>
      <c r="G21" s="6">
        <f t="shared" si="1"/>
        <v>3.9605284564445342E-2</v>
      </c>
      <c r="H21" s="6">
        <f t="shared" si="2"/>
        <v>0.29130382908768226</v>
      </c>
      <c r="I21" s="6">
        <f t="shared" si="3"/>
        <v>0.26318620005505811</v>
      </c>
      <c r="J21" s="6">
        <f t="shared" si="4"/>
        <v>0.13242773272439051</v>
      </c>
      <c r="K21" s="6">
        <f t="shared" si="5"/>
        <v>8.9508381589696678E-2</v>
      </c>
      <c r="L21" s="6">
        <f t="shared" si="6"/>
        <v>0.1839685719787271</v>
      </c>
      <c r="M21" s="12">
        <f t="shared" si="7"/>
        <v>0.56826597225219666</v>
      </c>
    </row>
    <row r="22" spans="1:13" ht="18.75">
      <c r="A22" s="6">
        <v>120</v>
      </c>
      <c r="B22" s="6">
        <f t="shared" si="8"/>
        <v>0.9650770277786187</v>
      </c>
      <c r="C22" s="6">
        <f t="shared" si="8"/>
        <v>0.68970969649231151</v>
      </c>
      <c r="D22" s="6">
        <f t="shared" si="8"/>
        <v>0.42839217713865041</v>
      </c>
      <c r="E22" s="6">
        <f t="shared" si="8"/>
        <v>0.29297736831649474</v>
      </c>
      <c r="F22" s="6">
        <f t="shared" si="8"/>
        <v>0.19969233365831937</v>
      </c>
      <c r="G22" s="6">
        <f t="shared" si="1"/>
        <v>3.4922972221381299E-2</v>
      </c>
      <c r="H22" s="6">
        <f t="shared" si="2"/>
        <v>0.27536733128630719</v>
      </c>
      <c r="I22" s="6">
        <f t="shared" si="3"/>
        <v>0.2613175193536611</v>
      </c>
      <c r="J22" s="6">
        <f t="shared" si="4"/>
        <v>0.13541480882215567</v>
      </c>
      <c r="K22" s="6">
        <f t="shared" si="5"/>
        <v>9.3285034658175364E-2</v>
      </c>
      <c r="L22" s="6">
        <f t="shared" si="6"/>
        <v>0.19969233365831937</v>
      </c>
      <c r="M22" s="12">
        <f t="shared" si="7"/>
        <v>0.58471056396570131</v>
      </c>
    </row>
    <row r="23" spans="1:13" ht="18.75">
      <c r="A23" s="6">
        <v>130</v>
      </c>
      <c r="B23" s="6">
        <f t="shared" si="8"/>
        <v>0.96897350044297137</v>
      </c>
      <c r="C23" s="6">
        <f t="shared" si="8"/>
        <v>0.70816642856884038</v>
      </c>
      <c r="D23" s="6">
        <f t="shared" si="8"/>
        <v>0.4492879163020414</v>
      </c>
      <c r="E23" s="6">
        <f t="shared" si="8"/>
        <v>0.31146605870133304</v>
      </c>
      <c r="F23" s="6">
        <f t="shared" si="8"/>
        <v>0.2148479077344071</v>
      </c>
      <c r="G23" s="6">
        <f t="shared" si="1"/>
        <v>3.1026499557028631E-2</v>
      </c>
      <c r="H23" s="6">
        <f t="shared" si="2"/>
        <v>0.26080707187413099</v>
      </c>
      <c r="I23" s="6">
        <f t="shared" si="3"/>
        <v>0.25887851226679898</v>
      </c>
      <c r="J23" s="6">
        <f t="shared" si="4"/>
        <v>0.13782185760070836</v>
      </c>
      <c r="K23" s="6">
        <f t="shared" si="5"/>
        <v>9.6618150966925942E-2</v>
      </c>
      <c r="L23" s="6">
        <f t="shared" si="6"/>
        <v>0.2148479077344071</v>
      </c>
      <c r="M23" s="12">
        <f t="shared" si="7"/>
        <v>0.59981166090710392</v>
      </c>
    </row>
    <row r="24" spans="1:13" ht="18.75">
      <c r="A24" s="6">
        <v>140</v>
      </c>
      <c r="B24" s="6">
        <f t="shared" si="8"/>
        <v>0.97225342821155281</v>
      </c>
      <c r="C24" s="6">
        <f t="shared" si="8"/>
        <v>0.72478442674761023</v>
      </c>
      <c r="D24" s="6">
        <f t="shared" si="8"/>
        <v>0.46876189620810083</v>
      </c>
      <c r="E24" s="6">
        <f t="shared" si="8"/>
        <v>0.32901997807749117</v>
      </c>
      <c r="F24" s="6">
        <f t="shared" si="8"/>
        <v>0.22945764581173056</v>
      </c>
      <c r="G24" s="6">
        <f t="shared" si="1"/>
        <v>2.7746571788447194E-2</v>
      </c>
      <c r="H24" s="6">
        <f t="shared" si="2"/>
        <v>0.24746900146394257</v>
      </c>
      <c r="I24" s="6">
        <f t="shared" si="3"/>
        <v>0.25602253053950941</v>
      </c>
      <c r="J24" s="6">
        <f t="shared" si="4"/>
        <v>0.13974191813060965</v>
      </c>
      <c r="K24" s="6">
        <f t="shared" si="5"/>
        <v>9.9562332265760611E-2</v>
      </c>
      <c r="L24" s="6">
        <f t="shared" si="6"/>
        <v>0.22945764581173056</v>
      </c>
      <c r="M24" s="12">
        <f t="shared" si="7"/>
        <v>0.6137486990846126</v>
      </c>
    </row>
    <row r="25" spans="1:13" ht="18.75">
      <c r="A25" s="6">
        <v>150</v>
      </c>
      <c r="B25" s="6">
        <f t="shared" si="8"/>
        <v>0.97504214652396615</v>
      </c>
      <c r="C25" s="6">
        <f t="shared" si="8"/>
        <v>0.73982462583183861</v>
      </c>
      <c r="D25" s="6">
        <f t="shared" si="8"/>
        <v>0.48696015831305295</v>
      </c>
      <c r="E25" s="6">
        <f t="shared" si="8"/>
        <v>0.34570944129289094</v>
      </c>
      <c r="F25" s="6">
        <f t="shared" si="8"/>
        <v>0.24354535077179501</v>
      </c>
      <c r="G25" s="6">
        <f t="shared" si="1"/>
        <v>2.4957853476033853E-2</v>
      </c>
      <c r="H25" s="6">
        <f t="shared" si="2"/>
        <v>0.23521752069212754</v>
      </c>
      <c r="I25" s="6">
        <f t="shared" si="3"/>
        <v>0.25286446751878566</v>
      </c>
      <c r="J25" s="6">
        <f t="shared" si="4"/>
        <v>0.14125071702016201</v>
      </c>
      <c r="K25" s="6">
        <f t="shared" si="5"/>
        <v>0.10216409052109593</v>
      </c>
      <c r="L25" s="6">
        <f t="shared" si="6"/>
        <v>0.24354535077179501</v>
      </c>
      <c r="M25" s="12">
        <f t="shared" si="7"/>
        <v>0.62666768393832761</v>
      </c>
    </row>
    <row r="26" spans="1:13" ht="18.75">
      <c r="A26" s="6">
        <v>160</v>
      </c>
      <c r="B26" s="6">
        <f t="shared" si="8"/>
        <v>0.97743422818739245</v>
      </c>
      <c r="C26" s="6">
        <f t="shared" si="8"/>
        <v>0.75350014346928207</v>
      </c>
      <c r="D26" s="6">
        <f t="shared" si="8"/>
        <v>0.50400885733326617</v>
      </c>
      <c r="E26" s="6">
        <f t="shared" si="8"/>
        <v>0.36159842613644966</v>
      </c>
      <c r="F26" s="6">
        <f t="shared" si="8"/>
        <v>0.2571351861872393</v>
      </c>
      <c r="G26" s="6">
        <f t="shared" si="1"/>
        <v>2.2565771812607549E-2</v>
      </c>
      <c r="H26" s="6">
        <f t="shared" si="2"/>
        <v>0.22393408471811038</v>
      </c>
      <c r="I26" s="6">
        <f t="shared" si="3"/>
        <v>0.2494912861360159</v>
      </c>
      <c r="J26" s="6">
        <f t="shared" si="4"/>
        <v>0.14241043119681651</v>
      </c>
      <c r="K26" s="6">
        <f t="shared" si="5"/>
        <v>0.10446323994921036</v>
      </c>
      <c r="L26" s="6">
        <f t="shared" si="6"/>
        <v>0.2571351861872393</v>
      </c>
      <c r="M26" s="12">
        <f t="shared" si="7"/>
        <v>0.6386890897866766</v>
      </c>
    </row>
    <row r="27" spans="1:13" ht="18.75">
      <c r="A27" s="6">
        <v>170</v>
      </c>
      <c r="B27" s="6">
        <f t="shared" si="8"/>
        <v>0.9795022305640797</v>
      </c>
      <c r="C27" s="6">
        <f t="shared" si="8"/>
        <v>0.76598691050517775</v>
      </c>
      <c r="D27" s="6">
        <f t="shared" si="8"/>
        <v>0.52001755407552985</v>
      </c>
      <c r="E27" s="6">
        <f t="shared" si="8"/>
        <v>0.37674503692469774</v>
      </c>
      <c r="F27" s="6">
        <f t="shared" si="8"/>
        <v>0.27025101029912046</v>
      </c>
      <c r="G27" s="6">
        <f t="shared" si="1"/>
        <v>2.0497769435920299E-2</v>
      </c>
      <c r="H27" s="6">
        <f t="shared" si="2"/>
        <v>0.21351532005890195</v>
      </c>
      <c r="I27" s="6">
        <f t="shared" si="3"/>
        <v>0.2459693564296479</v>
      </c>
      <c r="J27" s="6">
        <f t="shared" si="4"/>
        <v>0.14327251715083211</v>
      </c>
      <c r="K27" s="6">
        <f t="shared" si="5"/>
        <v>0.10649402662557728</v>
      </c>
      <c r="L27" s="6">
        <f t="shared" si="6"/>
        <v>0.27025101029912046</v>
      </c>
      <c r="M27" s="12">
        <f t="shared" si="7"/>
        <v>0.64991353035481358</v>
      </c>
    </row>
    <row r="28" spans="1:13" ht="18.75">
      <c r="A28" s="6">
        <v>180</v>
      </c>
      <c r="B28" s="6">
        <f t="shared" si="8"/>
        <v>0.98130264328343864</v>
      </c>
      <c r="C28" s="6">
        <f t="shared" si="8"/>
        <v>0.77743155206639747</v>
      </c>
      <c r="D28" s="6">
        <f t="shared" si="8"/>
        <v>0.53508188743720475</v>
      </c>
      <c r="E28" s="6">
        <f t="shared" si="8"/>
        <v>0.39120202264249965</v>
      </c>
      <c r="F28" s="6">
        <f t="shared" si="8"/>
        <v>0.28291597721057726</v>
      </c>
      <c r="G28" s="6">
        <f t="shared" si="1"/>
        <v>1.8697356716561364E-2</v>
      </c>
      <c r="H28" s="6">
        <f t="shared" si="2"/>
        <v>0.20387109121704117</v>
      </c>
      <c r="I28" s="6">
        <f t="shared" si="3"/>
        <v>0.24234966462919272</v>
      </c>
      <c r="J28" s="6">
        <f t="shared" si="4"/>
        <v>0.1438798647947051</v>
      </c>
      <c r="K28" s="6">
        <f t="shared" si="5"/>
        <v>0.10828604543192238</v>
      </c>
      <c r="L28" s="6">
        <f t="shared" si="6"/>
        <v>0.28291597721057726</v>
      </c>
      <c r="M28" s="12">
        <f t="shared" si="7"/>
        <v>0.66042592181419291</v>
      </c>
    </row>
    <row r="29" spans="1:13" ht="18.75">
      <c r="A29" s="6">
        <v>190</v>
      </c>
      <c r="B29" s="6">
        <f t="shared" si="8"/>
        <v>0.98288002398716945</v>
      </c>
      <c r="C29" s="6">
        <f t="shared" si="8"/>
        <v>0.78795732252024431</v>
      </c>
      <c r="D29" s="6">
        <f t="shared" si="8"/>
        <v>0.54928575069600183</v>
      </c>
      <c r="E29" s="6">
        <f t="shared" si="8"/>
        <v>0.4050172945425014</v>
      </c>
      <c r="F29" s="6">
        <f t="shared" si="8"/>
        <v>0.29515230811156912</v>
      </c>
      <c r="G29" s="6">
        <f t="shared" si="1"/>
        <v>1.7119976012830551E-2</v>
      </c>
      <c r="H29" s="6">
        <f t="shared" si="2"/>
        <v>0.19492270146692514</v>
      </c>
      <c r="I29" s="6">
        <f t="shared" si="3"/>
        <v>0.23867157182424248</v>
      </c>
      <c r="J29" s="6">
        <f t="shared" si="4"/>
        <v>0.14426845615350042</v>
      </c>
      <c r="K29" s="6">
        <f t="shared" si="5"/>
        <v>0.10986498643093229</v>
      </c>
      <c r="L29" s="6">
        <f t="shared" si="6"/>
        <v>0.29515230811156912</v>
      </c>
      <c r="M29" s="12">
        <f t="shared" si="7"/>
        <v>0.67029859929338598</v>
      </c>
    </row>
    <row r="30" spans="1:13" ht="18.75">
      <c r="A30" s="6">
        <v>200</v>
      </c>
      <c r="B30" s="6">
        <f t="shared" ref="B30:F39" si="9">IF($A30&lt;=0,0,_xlfn.NORM.S.DIST((LN($A30)-C$5)/$B$6,TRUE()))</f>
        <v>0.98426993167484356</v>
      </c>
      <c r="C30" s="6">
        <f t="shared" si="9"/>
        <v>0.797668638078596</v>
      </c>
      <c r="D30" s="6">
        <f t="shared" si="9"/>
        <v>0.5627030726099278</v>
      </c>
      <c r="E30" s="6">
        <f t="shared" si="9"/>
        <v>0.41823441621276702</v>
      </c>
      <c r="F30" s="6">
        <f t="shared" si="9"/>
        <v>0.30698117135043801</v>
      </c>
      <c r="G30" s="6">
        <f t="shared" si="1"/>
        <v>1.5730068325156443E-2</v>
      </c>
      <c r="H30" s="6">
        <f t="shared" si="2"/>
        <v>0.18660129359624755</v>
      </c>
      <c r="I30" s="6">
        <f t="shared" si="3"/>
        <v>0.2349655654686682</v>
      </c>
      <c r="J30" s="6">
        <f t="shared" si="4"/>
        <v>0.14446865639716078</v>
      </c>
      <c r="K30" s="6">
        <f t="shared" si="5"/>
        <v>0.11125324486232901</v>
      </c>
      <c r="L30" s="6">
        <f t="shared" si="6"/>
        <v>0.30698117135043801</v>
      </c>
      <c r="M30" s="12">
        <f t="shared" si="7"/>
        <v>0.6795936901578008</v>
      </c>
    </row>
    <row r="31" spans="1:13" ht="18.75">
      <c r="A31" s="6">
        <v>210</v>
      </c>
      <c r="B31" s="6">
        <f t="shared" si="9"/>
        <v>0.9855010443204002</v>
      </c>
      <c r="C31" s="6">
        <f t="shared" si="9"/>
        <v>0.80665458255376032</v>
      </c>
      <c r="D31" s="6">
        <f t="shared" si="9"/>
        <v>0.57539928288870845</v>
      </c>
      <c r="E31" s="6">
        <f t="shared" si="9"/>
        <v>0.43089305425397628</v>
      </c>
      <c r="F31" s="6">
        <f t="shared" si="9"/>
        <v>0.31842263222408779</v>
      </c>
      <c r="G31" s="6">
        <f t="shared" si="1"/>
        <v>1.4498955679599801E-2</v>
      </c>
      <c r="H31" s="6">
        <f t="shared" si="2"/>
        <v>0.17884646176663987</v>
      </c>
      <c r="I31" s="6">
        <f t="shared" si="3"/>
        <v>0.23125529966505187</v>
      </c>
      <c r="J31" s="6">
        <f t="shared" si="4"/>
        <v>0.14450622863473217</v>
      </c>
      <c r="K31" s="6">
        <f t="shared" si="5"/>
        <v>0.11247042202988849</v>
      </c>
      <c r="L31" s="6">
        <f t="shared" si="6"/>
        <v>0.31842263222408779</v>
      </c>
      <c r="M31" s="12">
        <f t="shared" si="7"/>
        <v>0.68836494880122245</v>
      </c>
    </row>
    <row r="32" spans="1:13" ht="18.75">
      <c r="A32" s="6">
        <v>220</v>
      </c>
      <c r="B32" s="6">
        <f t="shared" si="9"/>
        <v>0.98659671204987753</v>
      </c>
      <c r="C32" s="6">
        <f t="shared" si="9"/>
        <v>0.81499165024211617</v>
      </c>
      <c r="D32" s="6">
        <f t="shared" si="9"/>
        <v>0.58743252465326035</v>
      </c>
      <c r="E32" s="6">
        <f t="shared" si="9"/>
        <v>0.44302938580357143</v>
      </c>
      <c r="F32" s="6">
        <f t="shared" si="9"/>
        <v>0.32949564714799112</v>
      </c>
      <c r="G32" s="6">
        <f t="shared" si="1"/>
        <v>1.3403287950122467E-2</v>
      </c>
      <c r="H32" s="6">
        <f t="shared" si="2"/>
        <v>0.17160506180776136</v>
      </c>
      <c r="I32" s="6">
        <f t="shared" si="3"/>
        <v>0.22755912558885583</v>
      </c>
      <c r="J32" s="6">
        <f t="shared" si="4"/>
        <v>0.14440313884968892</v>
      </c>
      <c r="K32" s="6">
        <f t="shared" si="5"/>
        <v>0.11353373865558031</v>
      </c>
      <c r="L32" s="6">
        <f t="shared" si="6"/>
        <v>0.32949564714799112</v>
      </c>
      <c r="M32" s="12">
        <f t="shared" si="7"/>
        <v>0.69665919432164836</v>
      </c>
    </row>
    <row r="33" spans="1:13" ht="18.75">
      <c r="A33" s="6">
        <v>230</v>
      </c>
      <c r="B33" s="6">
        <f t="shared" si="9"/>
        <v>0.98757611276564317</v>
      </c>
      <c r="C33" s="6">
        <f t="shared" si="9"/>
        <v>0.82274591453309698</v>
      </c>
      <c r="D33" s="6">
        <f t="shared" si="9"/>
        <v>0.5988546631286602</v>
      </c>
      <c r="E33" s="6">
        <f t="shared" si="9"/>
        <v>0.45467646337390488</v>
      </c>
      <c r="F33" s="6">
        <f t="shared" si="9"/>
        <v>0.34021808564027423</v>
      </c>
      <c r="G33" s="6">
        <f t="shared" si="1"/>
        <v>1.2423887234356834E-2</v>
      </c>
      <c r="H33" s="6">
        <f t="shared" si="2"/>
        <v>0.16483019823254619</v>
      </c>
      <c r="I33" s="6">
        <f t="shared" si="3"/>
        <v>0.22389125140443678</v>
      </c>
      <c r="J33" s="6">
        <f t="shared" si="4"/>
        <v>0.14417819975475532</v>
      </c>
      <c r="K33" s="6">
        <f t="shared" si="5"/>
        <v>0.11445837773363066</v>
      </c>
      <c r="L33" s="6">
        <f t="shared" si="6"/>
        <v>0.34021808564027423</v>
      </c>
      <c r="M33" s="12">
        <f t="shared" si="7"/>
        <v>0.70451745067696325</v>
      </c>
    </row>
    <row r="34" spans="1:13" ht="18.75">
      <c r="A34" s="6">
        <v>240</v>
      </c>
      <c r="B34" s="6">
        <f t="shared" si="9"/>
        <v>0.98845512323043327</v>
      </c>
      <c r="C34" s="6">
        <f t="shared" si="9"/>
        <v>0.82997475898620743</v>
      </c>
      <c r="D34" s="6">
        <f t="shared" si="9"/>
        <v>0.60971212937975949</v>
      </c>
      <c r="E34" s="6">
        <f t="shared" si="9"/>
        <v>0.4658645395627134</v>
      </c>
      <c r="F34" s="6">
        <f t="shared" si="9"/>
        <v>0.35060676921984563</v>
      </c>
      <c r="G34" s="6">
        <f t="shared" si="1"/>
        <v>1.1544876769566725E-2</v>
      </c>
      <c r="H34" s="6">
        <f t="shared" si="2"/>
        <v>0.15848036424422585</v>
      </c>
      <c r="I34" s="6">
        <f t="shared" si="3"/>
        <v>0.22026262960644793</v>
      </c>
      <c r="J34" s="6">
        <f t="shared" si="4"/>
        <v>0.1438475898170461</v>
      </c>
      <c r="K34" s="6">
        <f t="shared" si="5"/>
        <v>0.11525777034286777</v>
      </c>
      <c r="L34" s="6">
        <f t="shared" si="6"/>
        <v>0.35060676921984563</v>
      </c>
      <c r="M34" s="12">
        <f t="shared" si="7"/>
        <v>0.71197586075549157</v>
      </c>
    </row>
    <row r="35" spans="1:13" ht="18.75">
      <c r="A35" s="6">
        <v>250</v>
      </c>
      <c r="B35" s="6">
        <f t="shared" si="9"/>
        <v>0.98924698350606555</v>
      </c>
      <c r="C35" s="6">
        <f t="shared" si="9"/>
        <v>0.83672827136550365</v>
      </c>
      <c r="D35" s="6">
        <f t="shared" si="9"/>
        <v>0.62004662978519243</v>
      </c>
      <c r="E35" s="6">
        <f t="shared" si="9"/>
        <v>0.47662135510488185</v>
      </c>
      <c r="F35" s="6">
        <f t="shared" si="9"/>
        <v>0.36067752002425613</v>
      </c>
      <c r="G35" s="6">
        <f t="shared" si="1"/>
        <v>1.0753016493934453E-2</v>
      </c>
      <c r="H35" s="6">
        <f t="shared" si="2"/>
        <v>0.1525187121405619</v>
      </c>
      <c r="I35" s="6">
        <f t="shared" si="3"/>
        <v>0.21668164158031122</v>
      </c>
      <c r="J35" s="6">
        <f t="shared" si="4"/>
        <v>0.14342527468031058</v>
      </c>
      <c r="K35" s="6">
        <f t="shared" si="5"/>
        <v>0.11594383508062572</v>
      </c>
      <c r="L35" s="6">
        <f t="shared" si="6"/>
        <v>0.36067752002425613</v>
      </c>
      <c r="M35" s="12">
        <f t="shared" si="7"/>
        <v>0.7190664264323483</v>
      </c>
    </row>
    <row r="36" spans="1:13" ht="18.75">
      <c r="A36" s="6">
        <v>260</v>
      </c>
      <c r="B36" s="6">
        <f t="shared" si="9"/>
        <v>0.98996280930562752</v>
      </c>
      <c r="C36" s="6">
        <f t="shared" si="9"/>
        <v>0.84305037539737893</v>
      </c>
      <c r="D36" s="6">
        <f t="shared" si="9"/>
        <v>0.62989574563826778</v>
      </c>
      <c r="E36" s="6">
        <f t="shared" si="9"/>
        <v>0.48697239400162795</v>
      </c>
      <c r="F36" s="6">
        <f t="shared" si="9"/>
        <v>0.37044521440247669</v>
      </c>
      <c r="G36" s="6">
        <f t="shared" si="1"/>
        <v>1.0037190694372478E-2</v>
      </c>
      <c r="H36" s="6">
        <f t="shared" si="2"/>
        <v>0.1469124339082486</v>
      </c>
      <c r="I36" s="6">
        <f t="shared" si="3"/>
        <v>0.21315462975911115</v>
      </c>
      <c r="J36" s="6">
        <f t="shared" si="4"/>
        <v>0.14292335163663983</v>
      </c>
      <c r="K36" s="6">
        <f t="shared" si="5"/>
        <v>0.11652717959915126</v>
      </c>
      <c r="L36" s="6">
        <f t="shared" si="6"/>
        <v>0.37044521440247669</v>
      </c>
      <c r="M36" s="12">
        <f t="shared" si="7"/>
        <v>0.7258176131258105</v>
      </c>
    </row>
    <row r="37" spans="1:13" ht="18.75">
      <c r="A37" s="6">
        <v>270</v>
      </c>
      <c r="B37" s="6">
        <f t="shared" si="9"/>
        <v>0.99061199103823427</v>
      </c>
      <c r="C37" s="6">
        <f t="shared" si="9"/>
        <v>0.84897975651531332</v>
      </c>
      <c r="D37" s="6">
        <f t="shared" si="9"/>
        <v>0.63929344234905017</v>
      </c>
      <c r="E37" s="6">
        <f t="shared" si="9"/>
        <v>0.49694110939031444</v>
      </c>
      <c r="F37" s="6">
        <f t="shared" si="9"/>
        <v>0.37992383837070404</v>
      </c>
      <c r="G37" s="6">
        <f t="shared" si="1"/>
        <v>9.3880089617657259E-3</v>
      </c>
      <c r="H37" s="6">
        <f t="shared" si="2"/>
        <v>0.14163223452292095</v>
      </c>
      <c r="I37" s="6">
        <f t="shared" si="3"/>
        <v>0.20968631416626315</v>
      </c>
      <c r="J37" s="6">
        <f t="shared" si="4"/>
        <v>0.14235233295873573</v>
      </c>
      <c r="K37" s="6">
        <f t="shared" si="5"/>
        <v>0.1170172710196104</v>
      </c>
      <c r="L37" s="6">
        <f t="shared" si="6"/>
        <v>0.37992383837070404</v>
      </c>
      <c r="M37" s="12">
        <f t="shared" si="7"/>
        <v>0.73225484772126703</v>
      </c>
    </row>
    <row r="38" spans="1:13" ht="18.75">
      <c r="A38" s="6">
        <v>280</v>
      </c>
      <c r="B38" s="6">
        <f t="shared" si="9"/>
        <v>0.99120250748357563</v>
      </c>
      <c r="C38" s="6">
        <f t="shared" si="9"/>
        <v>0.8545506243792016</v>
      </c>
      <c r="D38" s="6">
        <f t="shared" si="9"/>
        <v>0.64827050387937302</v>
      </c>
      <c r="E38" s="6">
        <f t="shared" si="9"/>
        <v>0.50654912357659143</v>
      </c>
      <c r="F38" s="6">
        <f t="shared" si="9"/>
        <v>0.38912654291484994</v>
      </c>
      <c r="G38" s="6">
        <f t="shared" si="1"/>
        <v>8.7974925164243656E-3</v>
      </c>
      <c r="H38" s="6">
        <f t="shared" si="2"/>
        <v>0.13665188310437404</v>
      </c>
      <c r="I38" s="6">
        <f t="shared" si="3"/>
        <v>0.20628012049982858</v>
      </c>
      <c r="J38" s="6">
        <f t="shared" si="4"/>
        <v>0.14172138030278159</v>
      </c>
      <c r="K38" s="6">
        <f t="shared" si="5"/>
        <v>0.11742258066174149</v>
      </c>
      <c r="L38" s="6">
        <f t="shared" si="6"/>
        <v>0.38912654291484994</v>
      </c>
      <c r="M38" s="12">
        <f t="shared" si="7"/>
        <v>0.73840093176351129</v>
      </c>
    </row>
    <row r="39" spans="1:13" ht="18.75">
      <c r="A39" s="6">
        <v>290</v>
      </c>
      <c r="B39" s="6">
        <f t="shared" si="9"/>
        <v>0.99174117447417542</v>
      </c>
      <c r="C39" s="6">
        <f t="shared" si="9"/>
        <v>0.85979334502707938</v>
      </c>
      <c r="D39" s="6">
        <f t="shared" si="9"/>
        <v>0.65685490502470678</v>
      </c>
      <c r="E39" s="6">
        <f t="shared" si="9"/>
        <v>0.51581640533679907</v>
      </c>
      <c r="F39" s="6">
        <f t="shared" si="9"/>
        <v>0.39806569786146895</v>
      </c>
      <c r="G39" s="6">
        <f t="shared" si="1"/>
        <v>8.2588255258245757E-3</v>
      </c>
      <c r="H39" s="6">
        <f t="shared" si="2"/>
        <v>0.13194782944709604</v>
      </c>
      <c r="I39" s="6">
        <f t="shared" si="3"/>
        <v>0.2029384400023726</v>
      </c>
      <c r="J39" s="6">
        <f t="shared" si="4"/>
        <v>0.14103849968790771</v>
      </c>
      <c r="K39" s="6">
        <f t="shared" si="5"/>
        <v>0.11775070747533012</v>
      </c>
      <c r="L39" s="6">
        <f t="shared" si="6"/>
        <v>0.39806569786146895</v>
      </c>
      <c r="M39" s="12">
        <f t="shared" si="7"/>
        <v>0.74427638671815721</v>
      </c>
    </row>
    <row r="40" spans="1:13" ht="18.75">
      <c r="A40" s="6">
        <v>300</v>
      </c>
      <c r="B40" s="6">
        <f t="shared" ref="B40:F49" si="10">IF($A40&lt;=0,0,_xlfn.NORM.S.DIST((LN($A40)-C$5)/$B$6,TRUE()))</f>
        <v>0.99223384362095512</v>
      </c>
      <c r="C40" s="6">
        <f t="shared" si="10"/>
        <v>0.86473496812111406</v>
      </c>
      <c r="D40" s="6">
        <f t="shared" si="10"/>
        <v>0.66507213177525726</v>
      </c>
      <c r="E40" s="6">
        <f t="shared" si="10"/>
        <v>0.52476142726564245</v>
      </c>
      <c r="F40" s="6">
        <f t="shared" si="10"/>
        <v>0.40675294353700808</v>
      </c>
      <c r="G40" s="6">
        <f t="shared" si="1"/>
        <v>7.7661563790448751E-3</v>
      </c>
      <c r="H40" s="6">
        <f t="shared" si="2"/>
        <v>0.12749887549984107</v>
      </c>
      <c r="I40" s="6">
        <f t="shared" si="3"/>
        <v>0.1996628363458568</v>
      </c>
      <c r="J40" s="6">
        <f t="shared" si="4"/>
        <v>0.1403107045096148</v>
      </c>
      <c r="K40" s="6">
        <f t="shared" si="5"/>
        <v>0.11800848372863437</v>
      </c>
      <c r="L40" s="6">
        <f t="shared" si="6"/>
        <v>0.40675294353700808</v>
      </c>
      <c r="M40" s="12">
        <f t="shared" si="7"/>
        <v>0.74989974432287876</v>
      </c>
    </row>
    <row r="41" spans="1:13" ht="18.75">
      <c r="A41" s="6">
        <v>310</v>
      </c>
      <c r="B41" s="6">
        <f t="shared" si="10"/>
        <v>0.99268556229459104</v>
      </c>
      <c r="C41" s="6">
        <f t="shared" si="10"/>
        <v>0.86939966918563716</v>
      </c>
      <c r="D41" s="6">
        <f t="shared" si="10"/>
        <v>0.6729454580997396</v>
      </c>
      <c r="E41" s="6">
        <f t="shared" si="10"/>
        <v>0.53340130562037091</v>
      </c>
      <c r="F41" s="6">
        <f t="shared" si="10"/>
        <v>0.41519923977107182</v>
      </c>
      <c r="G41" s="6">
        <f t="shared" si="1"/>
        <v>7.3144377054089604E-3</v>
      </c>
      <c r="H41" s="6">
        <f t="shared" si="2"/>
        <v>0.12328589310895388</v>
      </c>
      <c r="I41" s="6">
        <f t="shared" si="3"/>
        <v>0.19645421108589756</v>
      </c>
      <c r="J41" s="6">
        <f t="shared" si="4"/>
        <v>0.13954415247936869</v>
      </c>
      <c r="K41" s="6">
        <f t="shared" si="5"/>
        <v>0.1182020658492991</v>
      </c>
      <c r="L41" s="6">
        <f t="shared" si="6"/>
        <v>0.41519923977107182</v>
      </c>
      <c r="M41" s="12">
        <f t="shared" si="7"/>
        <v>0.75528779221515485</v>
      </c>
    </row>
    <row r="42" spans="1:13" ht="18.75">
      <c r="A42" s="6">
        <v>320</v>
      </c>
      <c r="B42" s="6">
        <f t="shared" si="10"/>
        <v>0.99310070330730604</v>
      </c>
      <c r="C42" s="6">
        <f t="shared" si="10"/>
        <v>0.8738091225097484</v>
      </c>
      <c r="D42" s="6">
        <f t="shared" si="10"/>
        <v>0.6804961859893407</v>
      </c>
      <c r="E42" s="6">
        <f t="shared" si="10"/>
        <v>0.54175192481198997</v>
      </c>
      <c r="F42" s="6">
        <f t="shared" si="10"/>
        <v>0.42341491202468379</v>
      </c>
      <c r="G42" s="6">
        <f t="shared" ref="G42:G70" si="11">1-B42</f>
        <v>6.899296692693957E-3</v>
      </c>
      <c r="H42" s="6">
        <f t="shared" ref="H42:H70" si="12">B42-C42</f>
        <v>0.11929158079755764</v>
      </c>
      <c r="I42" s="6">
        <f t="shared" ref="I42:I70" si="13">C42-D42</f>
        <v>0.19331293652040771</v>
      </c>
      <c r="J42" s="6">
        <f t="shared" ref="J42:J70" si="14">D42-E42</f>
        <v>0.13874426117735073</v>
      </c>
      <c r="K42" s="6">
        <f t="shared" ref="K42:K70" si="15">E42-F42</f>
        <v>0.11833701278730618</v>
      </c>
      <c r="L42" s="6">
        <f t="shared" ref="L42:L70" si="16">F42</f>
        <v>0.42341491202468379</v>
      </c>
      <c r="M42" s="12">
        <f t="shared" ref="M42:M73" si="17">G42*$B$4+H42*$C$4+I42*$D$4+J42*$E$4+K42*$F$4+L42*$G$4</f>
        <v>0.76045578287586568</v>
      </c>
    </row>
    <row r="43" spans="1:13" ht="18.75">
      <c r="A43" s="6">
        <v>330</v>
      </c>
      <c r="B43" s="6">
        <f t="shared" si="10"/>
        <v>0.99348307071409458</v>
      </c>
      <c r="C43" s="6">
        <f t="shared" si="10"/>
        <v>0.87798281715035609</v>
      </c>
      <c r="D43" s="6">
        <f t="shared" si="10"/>
        <v>0.68774385439265651</v>
      </c>
      <c r="E43" s="6">
        <f t="shared" si="10"/>
        <v>0.5498280484223308</v>
      </c>
      <c r="F43" s="6">
        <f t="shared" si="10"/>
        <v>0.4314096945742773</v>
      </c>
      <c r="G43" s="6">
        <f t="shared" si="11"/>
        <v>6.5169292859054151E-3</v>
      </c>
      <c r="H43" s="6">
        <f t="shared" si="12"/>
        <v>0.1155002535637385</v>
      </c>
      <c r="I43" s="6">
        <f t="shared" si="13"/>
        <v>0.19023896275769958</v>
      </c>
      <c r="J43" s="6">
        <f t="shared" si="14"/>
        <v>0.13791580597032571</v>
      </c>
      <c r="K43" s="6">
        <f t="shared" si="15"/>
        <v>0.11841835384805349</v>
      </c>
      <c r="L43" s="6">
        <f t="shared" si="16"/>
        <v>0.4314096945742773</v>
      </c>
      <c r="M43" s="12">
        <f t="shared" si="17"/>
        <v>0.76541761228505423</v>
      </c>
    </row>
    <row r="44" spans="1:13" ht="18.75">
      <c r="A44" s="6">
        <v>340</v>
      </c>
      <c r="B44" s="6">
        <f t="shared" si="10"/>
        <v>0.99383598665489947</v>
      </c>
      <c r="C44" s="6">
        <f t="shared" si="10"/>
        <v>0.88193832597177524</v>
      </c>
      <c r="D44" s="6">
        <f t="shared" si="10"/>
        <v>0.69470642170050212</v>
      </c>
      <c r="E44" s="6">
        <f t="shared" si="10"/>
        <v>0.55764341838440057</v>
      </c>
      <c r="F44" s="6">
        <f t="shared" si="10"/>
        <v>0.43919277078004315</v>
      </c>
      <c r="G44" s="6">
        <f t="shared" si="11"/>
        <v>6.1640133451005275E-3</v>
      </c>
      <c r="H44" s="6">
        <f t="shared" si="12"/>
        <v>0.11189766068312423</v>
      </c>
      <c r="I44" s="6">
        <f t="shared" si="13"/>
        <v>0.18723190427127312</v>
      </c>
      <c r="J44" s="6">
        <f t="shared" si="14"/>
        <v>0.13706300331610155</v>
      </c>
      <c r="K44" s="6">
        <f t="shared" si="15"/>
        <v>0.11845064760435742</v>
      </c>
      <c r="L44" s="6">
        <f t="shared" si="16"/>
        <v>0.43919277078004315</v>
      </c>
      <c r="M44" s="12">
        <f t="shared" si="17"/>
        <v>0.77018597341745854</v>
      </c>
    </row>
    <row r="45" spans="1:13" ht="18.75">
      <c r="A45" s="6">
        <v>350</v>
      </c>
      <c r="B45" s="6">
        <f t="shared" si="10"/>
        <v>0.99416236304173988</v>
      </c>
      <c r="C45" s="6">
        <f t="shared" si="10"/>
        <v>0.88569153571251913</v>
      </c>
      <c r="D45" s="6">
        <f t="shared" si="10"/>
        <v>0.7014004256528783</v>
      </c>
      <c r="E45" s="6">
        <f t="shared" si="10"/>
        <v>0.5652108437513288</v>
      </c>
      <c r="F45" s="6">
        <f t="shared" si="10"/>
        <v>0.44677281052959933</v>
      </c>
      <c r="G45" s="6">
        <f t="shared" si="11"/>
        <v>5.8376369582601173E-3</v>
      </c>
      <c r="H45" s="6">
        <f t="shared" si="12"/>
        <v>0.10847082732922075</v>
      </c>
      <c r="I45" s="6">
        <f t="shared" si="13"/>
        <v>0.18429111005964083</v>
      </c>
      <c r="J45" s="6">
        <f t="shared" si="14"/>
        <v>0.13618958190154951</v>
      </c>
      <c r="K45" s="6">
        <f t="shared" si="15"/>
        <v>0.11843803322172947</v>
      </c>
      <c r="L45" s="6">
        <f t="shared" si="16"/>
        <v>0.44677281052959933</v>
      </c>
      <c r="M45" s="12">
        <f t="shared" si="17"/>
        <v>0.77477248871744364</v>
      </c>
    </row>
    <row r="46" spans="1:13" ht="18.75">
      <c r="A46" s="6">
        <v>360</v>
      </c>
      <c r="B46" s="6">
        <f t="shared" si="10"/>
        <v>0.99446476105341397</v>
      </c>
      <c r="C46" s="6">
        <f t="shared" si="10"/>
        <v>0.88925684454484077</v>
      </c>
      <c r="D46" s="6">
        <f t="shared" si="10"/>
        <v>0.70784112390064235</v>
      </c>
      <c r="E46" s="6">
        <f t="shared" si="10"/>
        <v>0.57254228029415921</v>
      </c>
      <c r="F46" s="6">
        <f t="shared" si="10"/>
        <v>0.4541580049858685</v>
      </c>
      <c r="G46" s="6">
        <f t="shared" si="11"/>
        <v>5.5352389465860297E-3</v>
      </c>
      <c r="H46" s="6">
        <f t="shared" si="12"/>
        <v>0.1052079165085732</v>
      </c>
      <c r="I46" s="6">
        <f t="shared" si="13"/>
        <v>0.18141572064419842</v>
      </c>
      <c r="J46" s="6">
        <f t="shared" si="14"/>
        <v>0.13529884360648314</v>
      </c>
      <c r="K46" s="6">
        <f t="shared" si="15"/>
        <v>0.11838427530829071</v>
      </c>
      <c r="L46" s="6">
        <f t="shared" si="16"/>
        <v>0.4541580049858685</v>
      </c>
      <c r="M46" s="12">
        <f t="shared" si="17"/>
        <v>0.77918782491743499</v>
      </c>
    </row>
    <row r="47" spans="1:13" ht="18.75">
      <c r="A47" s="6">
        <v>370</v>
      </c>
      <c r="B47" s="6">
        <f t="shared" si="10"/>
        <v>0.99474544076165428</v>
      </c>
      <c r="C47" s="6">
        <f t="shared" si="10"/>
        <v>0.8926473323888775</v>
      </c>
      <c r="D47" s="6">
        <f t="shared" si="10"/>
        <v>0.71404261793170287</v>
      </c>
      <c r="E47" s="6">
        <f t="shared" si="10"/>
        <v>0.57964890200797692</v>
      </c>
      <c r="F47" s="6">
        <f t="shared" si="10"/>
        <v>0.46135609878929645</v>
      </c>
      <c r="G47" s="6">
        <f t="shared" si="11"/>
        <v>5.254559238345724E-3</v>
      </c>
      <c r="H47" s="6">
        <f t="shared" si="12"/>
        <v>0.10209810837277677</v>
      </c>
      <c r="I47" s="6">
        <f t="shared" si="13"/>
        <v>0.17860471445717463</v>
      </c>
      <c r="J47" s="6">
        <f t="shared" si="14"/>
        <v>0.13439371592372595</v>
      </c>
      <c r="K47" s="6">
        <f t="shared" si="15"/>
        <v>0.11829280321868046</v>
      </c>
      <c r="L47" s="6">
        <f t="shared" si="16"/>
        <v>0.46135609878929645</v>
      </c>
      <c r="M47" s="12">
        <f t="shared" si="17"/>
        <v>0.78344179295068483</v>
      </c>
    </row>
    <row r="48" spans="1:13" ht="18.75">
      <c r="A48" s="6">
        <v>380</v>
      </c>
      <c r="B48" s="6">
        <f t="shared" si="10"/>
        <v>0.99500640272388641</v>
      </c>
      <c r="C48" s="6">
        <f t="shared" si="10"/>
        <v>0.89587490828710981</v>
      </c>
      <c r="D48" s="6">
        <f t="shared" si="10"/>
        <v>0.72001796264253981</v>
      </c>
      <c r="E48" s="6">
        <f t="shared" si="10"/>
        <v>0.58654116546664536</v>
      </c>
      <c r="F48" s="6">
        <f t="shared" si="10"/>
        <v>0.46837441987450978</v>
      </c>
      <c r="G48" s="6">
        <f t="shared" si="11"/>
        <v>4.9935972761135927E-3</v>
      </c>
      <c r="H48" s="6">
        <f t="shared" si="12"/>
        <v>9.9131494436776602E-2</v>
      </c>
      <c r="I48" s="6">
        <f t="shared" si="13"/>
        <v>0.17585694564457</v>
      </c>
      <c r="J48" s="6">
        <f t="shared" si="14"/>
        <v>0.13347679717589445</v>
      </c>
      <c r="K48" s="6">
        <f t="shared" si="15"/>
        <v>0.11816674559213558</v>
      </c>
      <c r="L48" s="6">
        <f t="shared" si="16"/>
        <v>0.46837441987450978</v>
      </c>
      <c r="M48" s="12">
        <f t="shared" si="17"/>
        <v>0.78754343522083181</v>
      </c>
    </row>
    <row r="49" spans="1:13" ht="18.75">
      <c r="A49" s="6">
        <v>390</v>
      </c>
      <c r="B49" s="6">
        <f t="shared" si="10"/>
        <v>0.99524942300103458</v>
      </c>
      <c r="C49" s="6">
        <f t="shared" si="10"/>
        <v>0.89895043838068778</v>
      </c>
      <c r="D49" s="6">
        <f t="shared" si="10"/>
        <v>0.7257792634821465</v>
      </c>
      <c r="E49" s="6">
        <f t="shared" si="10"/>
        <v>0.59322886784599571</v>
      </c>
      <c r="F49" s="6">
        <f t="shared" si="10"/>
        <v>0.47521990706387907</v>
      </c>
      <c r="G49" s="6">
        <f t="shared" si="11"/>
        <v>4.7505769989654167E-3</v>
      </c>
      <c r="H49" s="6">
        <f t="shared" si="12"/>
        <v>9.6298984620346806E-2</v>
      </c>
      <c r="I49" s="6">
        <f t="shared" si="13"/>
        <v>0.17317117489854128</v>
      </c>
      <c r="J49" s="6">
        <f t="shared" si="14"/>
        <v>0.13255039563615079</v>
      </c>
      <c r="K49" s="6">
        <f t="shared" si="15"/>
        <v>0.11800896078211665</v>
      </c>
      <c r="L49" s="6">
        <f t="shared" si="16"/>
        <v>0.47521990706387907</v>
      </c>
      <c r="M49" s="12">
        <f t="shared" si="17"/>
        <v>0.79150110209925451</v>
      </c>
    </row>
    <row r="50" spans="1:13" ht="18.75">
      <c r="A50" s="6">
        <v>400</v>
      </c>
      <c r="B50" s="6">
        <f t="shared" ref="B50:F59" si="18">IF($A50&lt;=0,0,_xlfn.NORM.S.DIST((LN($A50)-C$5)/$B$6,TRUE()))</f>
        <v>0.99547608276642485</v>
      </c>
      <c r="C50" s="6">
        <f t="shared" si="18"/>
        <v>0.90188385741496258</v>
      </c>
      <c r="D50" s="6">
        <f t="shared" si="18"/>
        <v>0.73133776280271867</v>
      </c>
      <c r="E50" s="6">
        <f t="shared" si="18"/>
        <v>0.59972119933124846</v>
      </c>
      <c r="F50" s="6">
        <f t="shared" si="18"/>
        <v>0.48189913559788022</v>
      </c>
      <c r="G50" s="6">
        <f t="shared" si="11"/>
        <v>4.5239172335751476E-3</v>
      </c>
      <c r="H50" s="6">
        <f t="shared" si="12"/>
        <v>9.3592225351462277E-2</v>
      </c>
      <c r="I50" s="6">
        <f t="shared" si="13"/>
        <v>0.1705460946122439</v>
      </c>
      <c r="J50" s="6">
        <f t="shared" si="14"/>
        <v>0.13161656347147022</v>
      </c>
      <c r="K50" s="6">
        <f t="shared" si="15"/>
        <v>0.11782206373336823</v>
      </c>
      <c r="L50" s="6">
        <f t="shared" si="16"/>
        <v>0.48189913559788022</v>
      </c>
      <c r="M50" s="12">
        <f t="shared" si="17"/>
        <v>0.79532251920550179</v>
      </c>
    </row>
    <row r="51" spans="1:13" ht="18.75">
      <c r="A51" s="6">
        <v>410</v>
      </c>
      <c r="B51" s="6">
        <f t="shared" si="18"/>
        <v>0.99568779344339009</v>
      </c>
      <c r="C51" s="6">
        <f t="shared" si="18"/>
        <v>0.9046842662051503</v>
      </c>
      <c r="D51" s="6">
        <f t="shared" si="18"/>
        <v>0.73670391680803715</v>
      </c>
      <c r="E51" s="6">
        <f t="shared" si="18"/>
        <v>0.60602679053448516</v>
      </c>
      <c r="F51" s="6">
        <f t="shared" si="18"/>
        <v>0.48841834075638718</v>
      </c>
      <c r="G51" s="6">
        <f t="shared" si="11"/>
        <v>4.3122065566099099E-3</v>
      </c>
      <c r="H51" s="6">
        <f t="shared" si="12"/>
        <v>9.100352723823979E-2</v>
      </c>
      <c r="I51" s="6">
        <f t="shared" si="13"/>
        <v>0.16798034939711315</v>
      </c>
      <c r="J51" s="6">
        <f t="shared" si="14"/>
        <v>0.13067712627355199</v>
      </c>
      <c r="K51" s="6">
        <f t="shared" si="15"/>
        <v>0.11760844977809798</v>
      </c>
      <c r="L51" s="6">
        <f t="shared" si="16"/>
        <v>0.48841834075638718</v>
      </c>
      <c r="M51" s="12">
        <f t="shared" si="17"/>
        <v>0.79901484676995582</v>
      </c>
    </row>
    <row r="52" spans="1:13" ht="18.75">
      <c r="A52" s="6">
        <v>420</v>
      </c>
      <c r="B52" s="6">
        <f t="shared" si="18"/>
        <v>0.99588581812956556</v>
      </c>
      <c r="C52" s="6">
        <f t="shared" si="18"/>
        <v>0.9073600170897681</v>
      </c>
      <c r="D52" s="6">
        <f t="shared" si="18"/>
        <v>0.74188746428741381</v>
      </c>
      <c r="E52" s="6">
        <f t="shared" si="18"/>
        <v>0.61215375547020712</v>
      </c>
      <c r="F52" s="6">
        <f t="shared" si="18"/>
        <v>0.49478343971737432</v>
      </c>
      <c r="G52" s="6">
        <f t="shared" si="11"/>
        <v>4.1141818704344413E-3</v>
      </c>
      <c r="H52" s="6">
        <f t="shared" si="12"/>
        <v>8.8525801039797458E-2</v>
      </c>
      <c r="I52" s="6">
        <f t="shared" si="13"/>
        <v>0.16547255280235429</v>
      </c>
      <c r="J52" s="6">
        <f t="shared" si="14"/>
        <v>0.12973370881720669</v>
      </c>
      <c r="K52" s="6">
        <f t="shared" si="15"/>
        <v>0.1173703157528328</v>
      </c>
      <c r="L52" s="6">
        <f t="shared" si="16"/>
        <v>0.49478343971737432</v>
      </c>
      <c r="M52" s="12">
        <f t="shared" si="17"/>
        <v>0.80258473216895543</v>
      </c>
    </row>
    <row r="53" spans="1:13" ht="18.75">
      <c r="A53" s="6">
        <v>430</v>
      </c>
      <c r="B53" s="6">
        <f t="shared" si="18"/>
        <v>0.99607128992381955</v>
      </c>
      <c r="C53" s="6">
        <f t="shared" si="18"/>
        <v>0.90991878907024859</v>
      </c>
      <c r="D53" s="6">
        <f t="shared" si="18"/>
        <v>0.74689748815298462</v>
      </c>
      <c r="E53" s="6">
        <f t="shared" si="18"/>
        <v>0.61810973056969742</v>
      </c>
      <c r="F53" s="6">
        <f t="shared" si="18"/>
        <v>0.50100005179080287</v>
      </c>
      <c r="G53" s="6">
        <f t="shared" si="11"/>
        <v>3.9287100761804528E-3</v>
      </c>
      <c r="H53" s="6">
        <f t="shared" si="12"/>
        <v>8.6152500853570957E-2</v>
      </c>
      <c r="I53" s="6">
        <f t="shared" si="13"/>
        <v>0.16302130091726397</v>
      </c>
      <c r="J53" s="6">
        <f t="shared" si="14"/>
        <v>0.1287877575832872</v>
      </c>
      <c r="K53" s="6">
        <f t="shared" si="15"/>
        <v>0.11710967877889455</v>
      </c>
      <c r="L53" s="6">
        <f t="shared" si="16"/>
        <v>0.50100005179080287</v>
      </c>
      <c r="M53" s="12">
        <f t="shared" si="17"/>
        <v>0.80603835655129807</v>
      </c>
    </row>
    <row r="54" spans="1:13" ht="18.75">
      <c r="A54" s="6">
        <v>440</v>
      </c>
      <c r="B54" s="6">
        <f t="shared" si="18"/>
        <v>0.99624522765877987</v>
      </c>
      <c r="C54" s="6">
        <f t="shared" si="18"/>
        <v>0.9123676540650667</v>
      </c>
      <c r="D54" s="6">
        <f t="shared" si="18"/>
        <v>0.751742470655137</v>
      </c>
      <c r="E54" s="6">
        <f t="shared" si="18"/>
        <v>0.62390191015656904</v>
      </c>
      <c r="F54" s="6">
        <f t="shared" si="18"/>
        <v>0.50707351715629323</v>
      </c>
      <c r="G54" s="6">
        <f t="shared" si="11"/>
        <v>3.754772341220125E-3</v>
      </c>
      <c r="H54" s="6">
        <f t="shared" si="12"/>
        <v>8.3877573593713173E-2</v>
      </c>
      <c r="I54" s="6">
        <f t="shared" si="13"/>
        <v>0.16062518340992971</v>
      </c>
      <c r="J54" s="6">
        <f t="shared" si="14"/>
        <v>0.12784056049856796</v>
      </c>
      <c r="K54" s="6">
        <f t="shared" si="15"/>
        <v>0.11682839300027581</v>
      </c>
      <c r="L54" s="6">
        <f t="shared" si="16"/>
        <v>0.50707351715629323</v>
      </c>
      <c r="M54" s="12">
        <f t="shared" si="17"/>
        <v>0.80938147633386059</v>
      </c>
    </row>
    <row r="55" spans="1:13" ht="18.75">
      <c r="A55" s="6">
        <v>450</v>
      </c>
      <c r="B55" s="6">
        <f t="shared" si="18"/>
        <v>0.99640854945157631</v>
      </c>
      <c r="C55" s="6">
        <f t="shared" si="18"/>
        <v>0.9147131354842124</v>
      </c>
      <c r="D55" s="6">
        <f t="shared" si="18"/>
        <v>0.75643034303025081</v>
      </c>
      <c r="E55" s="6">
        <f t="shared" si="18"/>
        <v>0.62953707875528608</v>
      </c>
      <c r="F55" s="6">
        <f t="shared" si="18"/>
        <v>0.5130089142239691</v>
      </c>
      <c r="G55" s="6">
        <f t="shared" si="11"/>
        <v>3.5914505484236914E-3</v>
      </c>
      <c r="H55" s="6">
        <f t="shared" si="12"/>
        <v>8.1695413967363906E-2</v>
      </c>
      <c r="I55" s="6">
        <f t="shared" si="13"/>
        <v>0.1582827924539616</v>
      </c>
      <c r="J55" s="6">
        <f t="shared" si="14"/>
        <v>0.12689326427496472</v>
      </c>
      <c r="K55" s="6">
        <f t="shared" si="15"/>
        <v>0.11652816453131698</v>
      </c>
      <c r="L55" s="6">
        <f t="shared" si="16"/>
        <v>0.5130089142239691</v>
      </c>
      <c r="M55" s="12">
        <f t="shared" si="17"/>
        <v>0.81261946022719966</v>
      </c>
    </row>
    <row r="56" spans="1:13" ht="18.75">
      <c r="A56" s="6">
        <v>460</v>
      </c>
      <c r="B56" s="6">
        <f t="shared" si="18"/>
        <v>0.99656208441281069</v>
      </c>
      <c r="C56" s="6">
        <f t="shared" si="18"/>
        <v>0.91696126014572177</v>
      </c>
      <c r="D56" s="6">
        <f t="shared" si="18"/>
        <v>0.76096853023284039</v>
      </c>
      <c r="E56" s="6">
        <f t="shared" si="18"/>
        <v>0.63502164056047761</v>
      </c>
      <c r="F56" s="6">
        <f t="shared" si="18"/>
        <v>0.51881107572882512</v>
      </c>
      <c r="G56" s="6">
        <f t="shared" si="11"/>
        <v>3.4379155871893108E-3</v>
      </c>
      <c r="H56" s="6">
        <f t="shared" si="12"/>
        <v>7.9600824267088921E-2</v>
      </c>
      <c r="I56" s="6">
        <f t="shared" si="13"/>
        <v>0.15599272991288138</v>
      </c>
      <c r="J56" s="6">
        <f t="shared" si="14"/>
        <v>0.12594688967236278</v>
      </c>
      <c r="K56" s="6">
        <f t="shared" si="15"/>
        <v>0.11621056483165249</v>
      </c>
      <c r="L56" s="6">
        <f t="shared" si="16"/>
        <v>0.51881107572882512</v>
      </c>
      <c r="M56" s="12">
        <f t="shared" si="17"/>
        <v>0.81575732235479737</v>
      </c>
    </row>
    <row r="57" spans="1:13" ht="18.75">
      <c r="A57" s="6">
        <v>470</v>
      </c>
      <c r="B57" s="6">
        <f t="shared" si="18"/>
        <v>0.99670658279511781</v>
      </c>
      <c r="C57" s="6">
        <f t="shared" si="18"/>
        <v>0.91911760440300616</v>
      </c>
      <c r="D57" s="6">
        <f t="shared" si="18"/>
        <v>0.76536399131750177</v>
      </c>
      <c r="E57" s="6">
        <f t="shared" si="18"/>
        <v>0.64036164635661041</v>
      </c>
      <c r="F57" s="6">
        <f t="shared" si="18"/>
        <v>0.52448460366030947</v>
      </c>
      <c r="G57" s="6">
        <f t="shared" si="11"/>
        <v>3.2934172048821875E-3</v>
      </c>
      <c r="H57" s="6">
        <f t="shared" si="12"/>
        <v>7.7588978392111652E-2</v>
      </c>
      <c r="I57" s="6">
        <f t="shared" si="13"/>
        <v>0.15375361308550439</v>
      </c>
      <c r="J57" s="6">
        <f t="shared" si="14"/>
        <v>0.12500234496089135</v>
      </c>
      <c r="K57" s="6">
        <f t="shared" si="15"/>
        <v>0.11587704269630095</v>
      </c>
      <c r="L57" s="6">
        <f t="shared" si="16"/>
        <v>0.52448460366030947</v>
      </c>
      <c r="M57" s="12">
        <f t="shared" si="17"/>
        <v>0.81879975194842891</v>
      </c>
    </row>
    <row r="58" spans="1:13" ht="18.75">
      <c r="A58" s="6">
        <v>480</v>
      </c>
      <c r="B58" s="6">
        <f t="shared" si="18"/>
        <v>0.99684272481510316</v>
      </c>
      <c r="C58" s="6">
        <f t="shared" si="18"/>
        <v>0.9211873352241341</v>
      </c>
      <c r="D58" s="6">
        <f t="shared" si="18"/>
        <v>0.76962325596222692</v>
      </c>
      <c r="E58" s="6">
        <f t="shared" si="18"/>
        <v>0.64556281814424799</v>
      </c>
      <c r="F58" s="6">
        <f t="shared" si="18"/>
        <v>0.53003388312061128</v>
      </c>
      <c r="G58" s="6">
        <f t="shared" si="11"/>
        <v>3.157275184896835E-3</v>
      </c>
      <c r="H58" s="6">
        <f t="shared" si="12"/>
        <v>7.5655389590969069E-2</v>
      </c>
      <c r="I58" s="6">
        <f t="shared" si="13"/>
        <v>0.15156407926190718</v>
      </c>
      <c r="J58" s="6">
        <f t="shared" si="14"/>
        <v>0.12406043781797893</v>
      </c>
      <c r="K58" s="6">
        <f t="shared" si="15"/>
        <v>0.1155289350236367</v>
      </c>
      <c r="L58" s="6">
        <f t="shared" si="16"/>
        <v>0.53003388312061128</v>
      </c>
      <c r="M58" s="12">
        <f t="shared" si="17"/>
        <v>0.82175114003406435</v>
      </c>
    </row>
    <row r="59" spans="1:13" ht="18.75">
      <c r="A59" s="6">
        <v>490</v>
      </c>
      <c r="B59" s="6">
        <f t="shared" si="18"/>
        <v>0.99697112834365176</v>
      </c>
      <c r="C59" s="6">
        <f t="shared" si="18"/>
        <v>0.92317524685739483</v>
      </c>
      <c r="D59" s="6">
        <f t="shared" si="18"/>
        <v>0.77375245756157141</v>
      </c>
      <c r="E59" s="6">
        <f t="shared" si="18"/>
        <v>0.65063057170001615</v>
      </c>
      <c r="F59" s="6">
        <f t="shared" si="18"/>
        <v>0.53546309519745461</v>
      </c>
      <c r="G59" s="6">
        <f t="shared" si="11"/>
        <v>3.0288716563482421E-3</v>
      </c>
      <c r="H59" s="6">
        <f t="shared" si="12"/>
        <v>7.3795881486256931E-2</v>
      </c>
      <c r="I59" s="6">
        <f t="shared" si="13"/>
        <v>0.14942278929582342</v>
      </c>
      <c r="J59" s="6">
        <f t="shared" si="14"/>
        <v>0.12312188586155526</v>
      </c>
      <c r="K59" s="6">
        <f t="shared" si="15"/>
        <v>0.11516747650256154</v>
      </c>
      <c r="L59" s="6">
        <f t="shared" si="16"/>
        <v>0.53546309519745461</v>
      </c>
      <c r="M59" s="12">
        <f t="shared" si="17"/>
        <v>0.82461560346540241</v>
      </c>
    </row>
    <row r="60" spans="1:13" ht="18.75">
      <c r="A60" s="6">
        <v>500</v>
      </c>
      <c r="B60" s="6">
        <f t="shared" ref="B60:F69" si="19">IF($A60&lt;=0,0,_xlfn.NORM.S.DIST((LN($A60)-C$5)/$B$6,TRUE()))</f>
        <v>0.99709235562786469</v>
      </c>
      <c r="C60" s="6">
        <f t="shared" si="19"/>
        <v>0.92508579362772558</v>
      </c>
      <c r="D60" s="6">
        <f t="shared" si="19"/>
        <v>0.77775736326410705</v>
      </c>
      <c r="E60" s="6">
        <f t="shared" si="19"/>
        <v>0.65557003727194663</v>
      </c>
      <c r="F60" s="6">
        <f t="shared" si="19"/>
        <v>0.5407762289300555</v>
      </c>
      <c r="G60" s="6">
        <f t="shared" si="11"/>
        <v>2.9076443721353096E-3</v>
      </c>
      <c r="H60" s="6">
        <f t="shared" si="12"/>
        <v>7.2006562000139107E-2</v>
      </c>
      <c r="I60" s="6">
        <f t="shared" si="13"/>
        <v>0.14732843036361853</v>
      </c>
      <c r="J60" s="6">
        <f t="shared" si="14"/>
        <v>0.12218732599216042</v>
      </c>
      <c r="K60" s="6">
        <f t="shared" si="15"/>
        <v>0.11479380834189112</v>
      </c>
      <c r="L60" s="6">
        <f t="shared" si="16"/>
        <v>0.5407762289300555</v>
      </c>
      <c r="M60" s="12">
        <f t="shared" si="17"/>
        <v>0.82739700661372195</v>
      </c>
    </row>
    <row r="61" spans="1:13" ht="18.75">
      <c r="A61" s="6">
        <v>510</v>
      </c>
      <c r="B61" s="6">
        <f t="shared" si="19"/>
        <v>0.99720691918178439</v>
      </c>
      <c r="C61" s="6">
        <f t="shared" si="19"/>
        <v>0.92692311933291238</v>
      </c>
      <c r="D61" s="6">
        <f t="shared" si="19"/>
        <v>0.78164340128215226</v>
      </c>
      <c r="E61" s="6">
        <f t="shared" si="19"/>
        <v>0.66038607858957143</v>
      </c>
      <c r="F61" s="6">
        <f t="shared" si="19"/>
        <v>0.54597709244027459</v>
      </c>
      <c r="G61" s="6">
        <f t="shared" si="11"/>
        <v>2.7930808182156097E-3</v>
      </c>
      <c r="H61" s="6">
        <f t="shared" si="12"/>
        <v>7.0283799848872008E-2</v>
      </c>
      <c r="I61" s="6">
        <f t="shared" si="13"/>
        <v>0.14527971805076012</v>
      </c>
      <c r="J61" s="6">
        <f t="shared" si="14"/>
        <v>0.12125732269258083</v>
      </c>
      <c r="K61" s="6">
        <f t="shared" si="15"/>
        <v>0.11440898614929684</v>
      </c>
      <c r="L61" s="6">
        <f t="shared" si="16"/>
        <v>0.54597709244027459</v>
      </c>
      <c r="M61" s="12">
        <f t="shared" si="17"/>
        <v>0.83009898098167545</v>
      </c>
    </row>
    <row r="62" spans="1:13" ht="18.75">
      <c r="A62" s="6">
        <v>520</v>
      </c>
      <c r="B62" s="6">
        <f t="shared" si="19"/>
        <v>0.99731528696154692</v>
      </c>
      <c r="C62" s="6">
        <f t="shared" si="19"/>
        <v>0.92869108364446773</v>
      </c>
      <c r="D62" s="6">
        <f t="shared" si="19"/>
        <v>0.78541568576176379</v>
      </c>
      <c r="E62" s="6">
        <f t="shared" si="19"/>
        <v>0.6650833103485827</v>
      </c>
      <c r="F62" s="6">
        <f t="shared" si="19"/>
        <v>0.55106932329491587</v>
      </c>
      <c r="G62" s="6">
        <f t="shared" si="11"/>
        <v>2.6847130384530793E-3</v>
      </c>
      <c r="H62" s="6">
        <f t="shared" si="12"/>
        <v>6.8624203317079191E-2</v>
      </c>
      <c r="I62" s="6">
        <f t="shared" si="13"/>
        <v>0.14327539788270394</v>
      </c>
      <c r="J62" s="6">
        <f t="shared" si="14"/>
        <v>0.12033237541318109</v>
      </c>
      <c r="K62" s="6">
        <f t="shared" si="15"/>
        <v>0.11401398705366683</v>
      </c>
      <c r="L62" s="6">
        <f t="shared" si="16"/>
        <v>0.55106932329491587</v>
      </c>
      <c r="M62" s="12">
        <f t="shared" si="17"/>
        <v>0.83272494297372357</v>
      </c>
    </row>
    <row r="63" spans="1:13" ht="18.75">
      <c r="A63" s="6">
        <v>530</v>
      </c>
      <c r="B63" s="6">
        <f t="shared" si="19"/>
        <v>0.99741788692276834</v>
      </c>
      <c r="C63" s="6">
        <f t="shared" si="19"/>
        <v>0.93039328586377135</v>
      </c>
      <c r="D63" s="6">
        <f t="shared" si="19"/>
        <v>0.78907903946641389</v>
      </c>
      <c r="E63" s="6">
        <f t="shared" si="19"/>
        <v>0.66966611431267253</v>
      </c>
      <c r="F63" s="6">
        <f t="shared" si="19"/>
        <v>0.55605639815951413</v>
      </c>
      <c r="G63" s="6">
        <f t="shared" si="11"/>
        <v>2.5821130772316625E-3</v>
      </c>
      <c r="H63" s="6">
        <f t="shared" si="12"/>
        <v>6.7024601058996991E-2</v>
      </c>
      <c r="I63" s="6">
        <f t="shared" si="13"/>
        <v>0.14131424639735746</v>
      </c>
      <c r="J63" s="6">
        <f t="shared" si="14"/>
        <v>0.11941292515374136</v>
      </c>
      <c r="K63" s="6">
        <f t="shared" si="15"/>
        <v>0.1136097161531584</v>
      </c>
      <c r="L63" s="6">
        <f t="shared" si="16"/>
        <v>0.55605639815951413</v>
      </c>
      <c r="M63" s="12">
        <f t="shared" si="17"/>
        <v>0.83527811002609065</v>
      </c>
    </row>
    <row r="64" spans="1:13" ht="18.75">
      <c r="A64" s="6">
        <v>540</v>
      </c>
      <c r="B64" s="6">
        <f t="shared" si="19"/>
        <v>0.99751511104315616</v>
      </c>
      <c r="C64" s="6">
        <f t="shared" si="19"/>
        <v>0.93203308633783033</v>
      </c>
      <c r="D64" s="6">
        <f t="shared" si="19"/>
        <v>0.79263801449784799</v>
      </c>
      <c r="E64" s="6">
        <f t="shared" si="19"/>
        <v>0.67413865416003482</v>
      </c>
      <c r="F64" s="6">
        <f t="shared" si="19"/>
        <v>0.56094164179883921</v>
      </c>
      <c r="G64" s="6">
        <f t="shared" si="11"/>
        <v>2.4848889568438448E-3</v>
      </c>
      <c r="H64" s="6">
        <f t="shared" si="12"/>
        <v>6.5482024705325825E-2</v>
      </c>
      <c r="I64" s="6">
        <f t="shared" si="13"/>
        <v>0.13939507183998234</v>
      </c>
      <c r="J64" s="6">
        <f t="shared" si="14"/>
        <v>0.11849936033781316</v>
      </c>
      <c r="K64" s="6">
        <f t="shared" si="15"/>
        <v>0.11319701236119561</v>
      </c>
      <c r="L64" s="6">
        <f t="shared" si="16"/>
        <v>0.56094164179883921</v>
      </c>
      <c r="M64" s="12">
        <f t="shared" si="17"/>
        <v>0.83776151527359777</v>
      </c>
    </row>
    <row r="65" spans="1:13" ht="18.75">
      <c r="A65" s="6">
        <v>550</v>
      </c>
      <c r="B65" s="6">
        <f t="shared" si="19"/>
        <v>0.99760731888097409</v>
      </c>
      <c r="C65" s="6">
        <f t="shared" si="19"/>
        <v>0.93361362579954776</v>
      </c>
      <c r="D65" s="6">
        <f t="shared" si="19"/>
        <v>0.79609691125164073</v>
      </c>
      <c r="E65" s="6">
        <f t="shared" si="19"/>
        <v>0.67850488918865004</v>
      </c>
      <c r="F65" s="6">
        <f t="shared" si="19"/>
        <v>0.56572823547464846</v>
      </c>
      <c r="G65" s="6">
        <f t="shared" si="11"/>
        <v>2.3926811190259079E-3</v>
      </c>
      <c r="H65" s="6">
        <f t="shared" si="12"/>
        <v>6.3993693081426328E-2</v>
      </c>
      <c r="I65" s="6">
        <f t="shared" si="13"/>
        <v>0.13751671454790704</v>
      </c>
      <c r="J65" s="6">
        <f t="shared" si="14"/>
        <v>0.11759202206299069</v>
      </c>
      <c r="K65" s="6">
        <f t="shared" si="15"/>
        <v>0.11277665371400158</v>
      </c>
      <c r="L65" s="6">
        <f t="shared" si="16"/>
        <v>0.56572823547464846</v>
      </c>
      <c r="M65" s="12">
        <f t="shared" si="17"/>
        <v>0.840178020908803</v>
      </c>
    </row>
    <row r="66" spans="1:13" ht="18.75">
      <c r="A66" s="6">
        <v>560</v>
      </c>
      <c r="B66" s="6">
        <f t="shared" si="19"/>
        <v>0.99769484072964909</v>
      </c>
      <c r="C66" s="6">
        <f t="shared" si="19"/>
        <v>0.93513784286360246</v>
      </c>
      <c r="D66" s="6">
        <f t="shared" si="19"/>
        <v>0.79945979578236603</v>
      </c>
      <c r="E66" s="6">
        <f t="shared" si="19"/>
        <v>0.68276858698268983</v>
      </c>
      <c r="F66" s="6">
        <f t="shared" si="19"/>
        <v>0.57041922478694818</v>
      </c>
      <c r="G66" s="6">
        <f t="shared" si="11"/>
        <v>2.3051592703509094E-3</v>
      </c>
      <c r="H66" s="6">
        <f t="shared" si="12"/>
        <v>6.2556997866046626E-2</v>
      </c>
      <c r="I66" s="6">
        <f t="shared" si="13"/>
        <v>0.13567804708123643</v>
      </c>
      <c r="J66" s="6">
        <f t="shared" si="14"/>
        <v>0.1166912087996762</v>
      </c>
      <c r="K66" s="6">
        <f t="shared" si="15"/>
        <v>0.11234936219574165</v>
      </c>
      <c r="L66" s="6">
        <f t="shared" si="16"/>
        <v>0.57041922478694818</v>
      </c>
      <c r="M66" s="12">
        <f t="shared" si="17"/>
        <v>0.84253033037000269</v>
      </c>
    </row>
    <row r="67" spans="1:13" ht="18.75">
      <c r="A67" s="6">
        <v>570</v>
      </c>
      <c r="B67" s="6">
        <f t="shared" si="19"/>
        <v>0.99777798042012078</v>
      </c>
      <c r="C67" s="6">
        <f t="shared" si="19"/>
        <v>0.9366084898800402</v>
      </c>
      <c r="D67" s="6">
        <f t="shared" si="19"/>
        <v>0.80273051573357956</v>
      </c>
      <c r="E67" s="6">
        <f t="shared" si="19"/>
        <v>0.68693333513192922</v>
      </c>
      <c r="F67" s="6">
        <f t="shared" si="19"/>
        <v>0.57501752700111153</v>
      </c>
      <c r="G67" s="6">
        <f t="shared" si="11"/>
        <v>2.2220195798792197E-3</v>
      </c>
      <c r="H67" s="6">
        <f t="shared" si="12"/>
        <v>6.1169490540080584E-2</v>
      </c>
      <c r="I67" s="6">
        <f t="shared" si="13"/>
        <v>0.13387797414646063</v>
      </c>
      <c r="J67" s="6">
        <f t="shared" si="14"/>
        <v>0.11579718060165034</v>
      </c>
      <c r="K67" s="6">
        <f t="shared" si="15"/>
        <v>0.1119158081308177</v>
      </c>
      <c r="L67" s="6">
        <f t="shared" si="16"/>
        <v>0.57501752700111153</v>
      </c>
      <c r="M67" s="12">
        <f t="shared" si="17"/>
        <v>0.84482099947833567</v>
      </c>
    </row>
    <row r="68" spans="1:13" ht="18.75">
      <c r="A68" s="6">
        <v>580</v>
      </c>
      <c r="B68" s="6">
        <f t="shared" si="19"/>
        <v>0.99785701781522396</v>
      </c>
      <c r="C68" s="6">
        <f t="shared" si="19"/>
        <v>0.93802814732271511</v>
      </c>
      <c r="D68" s="6">
        <f t="shared" si="19"/>
        <v>0.80591271497058581</v>
      </c>
      <c r="E68" s="6">
        <f t="shared" si="19"/>
        <v>0.6910025520868136</v>
      </c>
      <c r="F68" s="6">
        <f t="shared" si="19"/>
        <v>0.57952593789964935</v>
      </c>
      <c r="G68" s="6">
        <f t="shared" si="11"/>
        <v>2.1429821847760433E-3</v>
      </c>
      <c r="H68" s="6">
        <f t="shared" si="12"/>
        <v>5.9828870492508845E-2</v>
      </c>
      <c r="I68" s="6">
        <f t="shared" si="13"/>
        <v>0.1321154323521293</v>
      </c>
      <c r="J68" s="6">
        <f t="shared" si="14"/>
        <v>0.1149101628837722</v>
      </c>
      <c r="K68" s="6">
        <f t="shared" si="15"/>
        <v>0.11147661418716426</v>
      </c>
      <c r="L68" s="6">
        <f t="shared" si="16"/>
        <v>0.57952593789964935</v>
      </c>
      <c r="M68" s="12">
        <f t="shared" si="17"/>
        <v>0.84705244663011814</v>
      </c>
    </row>
    <row r="69" spans="1:13" ht="18.75">
      <c r="A69" s="6">
        <v>590</v>
      </c>
      <c r="B69" s="6">
        <f t="shared" si="19"/>
        <v>0.99793221103421637</v>
      </c>
      <c r="C69" s="6">
        <f t="shared" si="19"/>
        <v>0.9393992368681805</v>
      </c>
      <c r="D69" s="6">
        <f t="shared" si="19"/>
        <v>0.80900984703887358</v>
      </c>
      <c r="E69" s="6">
        <f t="shared" si="19"/>
        <v>0.69497949722361319</v>
      </c>
      <c r="F69" s="6">
        <f t="shared" si="19"/>
        <v>0.58394713819418176</v>
      </c>
      <c r="G69" s="6">
        <f t="shared" si="11"/>
        <v>2.0677889657836346E-3</v>
      </c>
      <c r="H69" s="6">
        <f t="shared" si="12"/>
        <v>5.8532974166035867E-2</v>
      </c>
      <c r="I69" s="6">
        <f t="shared" si="13"/>
        <v>0.13038938982930692</v>
      </c>
      <c r="J69" s="6">
        <f t="shared" si="14"/>
        <v>0.11403034981526039</v>
      </c>
      <c r="K69" s="6">
        <f t="shared" si="15"/>
        <v>0.11103235902943143</v>
      </c>
      <c r="L69" s="6">
        <f t="shared" si="16"/>
        <v>0.58394713819418176</v>
      </c>
      <c r="M69" s="12">
        <f t="shared" si="17"/>
        <v>0.84922696213827775</v>
      </c>
    </row>
    <row r="70" spans="1:13" ht="18.75">
      <c r="A70" s="6">
        <v>600</v>
      </c>
      <c r="B70" s="6">
        <f t="shared" ref="B70:F79" si="20">IF($A70&lt;=0,0,_xlfn.NORM.S.DIST((LN($A70)-C$5)/$B$6,TRUE()))</f>
        <v>0.99800379844032983</v>
      </c>
      <c r="C70" s="6">
        <f t="shared" si="20"/>
        <v>0.94072403330200038</v>
      </c>
      <c r="D70" s="6">
        <f t="shared" si="20"/>
        <v>0.81202518755785336</v>
      </c>
      <c r="E70" s="6">
        <f t="shared" si="20"/>
        <v>0.69886728018679312</v>
      </c>
      <c r="F70" s="6">
        <f t="shared" si="20"/>
        <v>0.58828369953020299</v>
      </c>
      <c r="G70" s="6">
        <f t="shared" si="11"/>
        <v>1.9962015596701743E-3</v>
      </c>
      <c r="H70" s="6">
        <f t="shared" si="12"/>
        <v>5.7279765138329441E-2</v>
      </c>
      <c r="I70" s="6">
        <f t="shared" si="13"/>
        <v>0.12869884574414703</v>
      </c>
      <c r="J70" s="6">
        <f t="shared" si="14"/>
        <v>0.11315790737106024</v>
      </c>
      <c r="K70" s="6">
        <f t="shared" si="15"/>
        <v>0.11058358065659013</v>
      </c>
      <c r="L70" s="6">
        <f t="shared" si="16"/>
        <v>0.58828369953020299</v>
      </c>
      <c r="M70" s="12">
        <f t="shared" si="17"/>
        <v>0.85134671680608509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0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L13" sqref="L13"/>
    </sheetView>
  </sheetViews>
  <sheetFormatPr defaultColWidth="8.7109375" defaultRowHeight="15"/>
  <cols>
    <col min="1" max="1" width="12" customWidth="1"/>
    <col min="2" max="14" width="15" customWidth="1"/>
  </cols>
  <sheetData>
    <row r="1" spans="1:13">
      <c r="A1" s="1" t="s">
        <v>53</v>
      </c>
    </row>
    <row r="3" spans="1:13">
      <c r="A3" s="6" t="s">
        <v>21</v>
      </c>
      <c r="B3" s="5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</row>
    <row r="4" spans="1:13" ht="18.75">
      <c r="A4" s="6" t="s">
        <v>35</v>
      </c>
      <c r="B4" s="8">
        <f>データ!$E$20</f>
        <v>0</v>
      </c>
      <c r="C4" s="8">
        <f>データ!$E$21</f>
        <v>0.25</v>
      </c>
      <c r="D4" s="8">
        <f>データ!$E$22</f>
        <v>0.5</v>
      </c>
      <c r="E4" s="8">
        <f>データ!$E$23</f>
        <v>0.75</v>
      </c>
      <c r="F4" s="8">
        <f>データ!$E$24</f>
        <v>0.9</v>
      </c>
      <c r="G4" s="8">
        <f>データ!$E$25</f>
        <v>1</v>
      </c>
    </row>
    <row r="5" spans="1:13" ht="18.75">
      <c r="A5" s="4" t="s">
        <v>36</v>
      </c>
      <c r="C5" s="10">
        <f>データ!$G$5</f>
        <v>-0.08</v>
      </c>
      <c r="D5" s="10">
        <f>データ!$G$6</f>
        <v>4.46</v>
      </c>
      <c r="E5" s="10">
        <f>データ!$G$7</f>
        <v>6.22</v>
      </c>
      <c r="F5" s="10">
        <f>データ!$G$8</f>
        <v>6.62</v>
      </c>
      <c r="G5" s="10">
        <f>データ!$G$9</f>
        <v>8.4700000000000006</v>
      </c>
    </row>
    <row r="6" spans="1:13" ht="18.75">
      <c r="A6" s="4" t="s">
        <v>14</v>
      </c>
      <c r="B6" s="10">
        <f>データ!$G$10</f>
        <v>2.66</v>
      </c>
    </row>
    <row r="7" spans="1:13" ht="18.75">
      <c r="A7" s="11"/>
    </row>
    <row r="9" spans="1:13" ht="37.5">
      <c r="A9" s="5" t="s">
        <v>37</v>
      </c>
      <c r="B9" s="5" t="s">
        <v>38</v>
      </c>
      <c r="C9" s="5" t="s">
        <v>39</v>
      </c>
      <c r="D9" s="5" t="s">
        <v>40</v>
      </c>
      <c r="E9" s="5" t="s">
        <v>48</v>
      </c>
      <c r="F9" s="5" t="s">
        <v>49</v>
      </c>
      <c r="G9" s="5" t="s">
        <v>41</v>
      </c>
      <c r="H9" s="5" t="s">
        <v>42</v>
      </c>
      <c r="I9" s="5" t="s">
        <v>43</v>
      </c>
      <c r="J9" s="5" t="s">
        <v>44</v>
      </c>
      <c r="K9" s="5" t="s">
        <v>50</v>
      </c>
      <c r="L9" s="5" t="s">
        <v>51</v>
      </c>
      <c r="M9" s="5" t="s">
        <v>35</v>
      </c>
    </row>
    <row r="10" spans="1:13" ht="18.75">
      <c r="A10" s="6">
        <v>0</v>
      </c>
      <c r="B10" s="6">
        <f t="shared" ref="B10:F19" si="0">IF($A10&lt;=0,0,_xlfn.NORM.S.DIST((LN($A10)-C$5)/$B$6,TRUE()))</f>
        <v>0</v>
      </c>
      <c r="C10" s="6">
        <f t="shared" si="0"/>
        <v>0</v>
      </c>
      <c r="D10" s="6">
        <f t="shared" si="0"/>
        <v>0</v>
      </c>
      <c r="E10" s="6">
        <f t="shared" si="0"/>
        <v>0</v>
      </c>
      <c r="F10" s="6">
        <f t="shared" si="0"/>
        <v>0</v>
      </c>
      <c r="G10" s="6">
        <f t="shared" ref="G10:G41" si="1">1-B10</f>
        <v>1</v>
      </c>
      <c r="H10" s="6">
        <f t="shared" ref="H10:H41" si="2">B10-C10</f>
        <v>0</v>
      </c>
      <c r="I10" s="6">
        <f t="shared" ref="I10:I41" si="3">C10-D10</f>
        <v>0</v>
      </c>
      <c r="J10" s="6">
        <f t="shared" ref="J10:J41" si="4">D10-E10</f>
        <v>0</v>
      </c>
      <c r="K10" s="6">
        <f t="shared" ref="K10:K41" si="5">E10-F10</f>
        <v>0</v>
      </c>
      <c r="L10" s="6">
        <f t="shared" ref="L10:L41" si="6">F10</f>
        <v>0</v>
      </c>
      <c r="M10" s="12">
        <f t="shared" ref="M10:M41" si="7">G10*$B$4+H10*$C$4+I10*$D$4+J10*$E$4+K10*$F$4+L10*$G$4</f>
        <v>0</v>
      </c>
    </row>
    <row r="11" spans="1:13" ht="18.75">
      <c r="A11" s="6">
        <v>10</v>
      </c>
      <c r="B11" s="6">
        <f t="shared" si="0"/>
        <v>0.81479581375998411</v>
      </c>
      <c r="C11" s="6">
        <f t="shared" si="0"/>
        <v>0.20866611419504283</v>
      </c>
      <c r="D11" s="6">
        <f t="shared" si="0"/>
        <v>7.0414304692594493E-2</v>
      </c>
      <c r="E11" s="6">
        <f t="shared" si="0"/>
        <v>5.2285264011008067E-2</v>
      </c>
      <c r="F11" s="6">
        <f t="shared" si="0"/>
        <v>1.0208990817443683E-2</v>
      </c>
      <c r="G11" s="6">
        <f t="shared" si="1"/>
        <v>0.18520418624001589</v>
      </c>
      <c r="H11" s="6">
        <f t="shared" si="2"/>
        <v>0.60612969956494123</v>
      </c>
      <c r="I11" s="6">
        <f t="shared" si="3"/>
        <v>0.13825180950244834</v>
      </c>
      <c r="J11" s="6">
        <f t="shared" si="4"/>
        <v>1.8129040681586425E-2</v>
      </c>
      <c r="K11" s="6">
        <f t="shared" si="5"/>
        <v>4.2076273193564384E-2</v>
      </c>
      <c r="L11" s="6">
        <f t="shared" si="6"/>
        <v>1.0208990817443683E-2</v>
      </c>
      <c r="M11" s="12">
        <f t="shared" si="7"/>
        <v>0.28233274684530091</v>
      </c>
    </row>
    <row r="12" spans="1:13" ht="18.75">
      <c r="A12" s="6">
        <v>20</v>
      </c>
      <c r="B12" s="6">
        <f t="shared" si="0"/>
        <v>0.87621878849725099</v>
      </c>
      <c r="C12" s="6">
        <f t="shared" si="0"/>
        <v>0.29099626498283193</v>
      </c>
      <c r="D12" s="6">
        <f t="shared" si="0"/>
        <v>0.11273117220074254</v>
      </c>
      <c r="E12" s="6">
        <f t="shared" si="0"/>
        <v>8.6519021240788987E-2</v>
      </c>
      <c r="F12" s="6">
        <f t="shared" si="0"/>
        <v>1.9795288164236473E-2</v>
      </c>
      <c r="G12" s="6">
        <f t="shared" si="1"/>
        <v>0.12378121150274901</v>
      </c>
      <c r="H12" s="6">
        <f t="shared" si="2"/>
        <v>0.58522252351441906</v>
      </c>
      <c r="I12" s="6">
        <f t="shared" si="3"/>
        <v>0.17826509278208941</v>
      </c>
      <c r="J12" s="6">
        <f t="shared" si="4"/>
        <v>2.6212150959953551E-2</v>
      </c>
      <c r="K12" s="6">
        <f t="shared" si="5"/>
        <v>6.6723733076552522E-2</v>
      </c>
      <c r="L12" s="6">
        <f t="shared" si="6"/>
        <v>1.9795288164236473E-2</v>
      </c>
      <c r="M12" s="12">
        <f t="shared" si="7"/>
        <v>0.33494393842274833</v>
      </c>
    </row>
    <row r="13" spans="1:13" ht="18.75">
      <c r="A13" s="6">
        <v>30</v>
      </c>
      <c r="B13" s="6">
        <f t="shared" si="0"/>
        <v>0.90468553175067801</v>
      </c>
      <c r="C13" s="6">
        <f t="shared" si="0"/>
        <v>0.34529810328444022</v>
      </c>
      <c r="D13" s="6">
        <f t="shared" si="0"/>
        <v>0.14464049851016739</v>
      </c>
      <c r="E13" s="6">
        <f t="shared" si="0"/>
        <v>0.11312483268677154</v>
      </c>
      <c r="F13" s="6">
        <f t="shared" si="0"/>
        <v>2.8353340232781004E-2</v>
      </c>
      <c r="G13" s="6">
        <f t="shared" si="1"/>
        <v>9.5314468249321993E-2</v>
      </c>
      <c r="H13" s="6">
        <f t="shared" si="2"/>
        <v>0.55938742846623779</v>
      </c>
      <c r="I13" s="6">
        <f t="shared" si="3"/>
        <v>0.20065760477427283</v>
      </c>
      <c r="J13" s="6">
        <f t="shared" si="4"/>
        <v>3.151566582339585E-2</v>
      </c>
      <c r="K13" s="6">
        <f t="shared" si="5"/>
        <v>8.477149245399053E-2</v>
      </c>
      <c r="L13" s="6">
        <f t="shared" si="6"/>
        <v>2.8353340232781004E-2</v>
      </c>
      <c r="M13" s="12">
        <f t="shared" si="7"/>
        <v>0.36846009231261523</v>
      </c>
    </row>
    <row r="14" spans="1:13" ht="18.75">
      <c r="A14" s="6">
        <v>40</v>
      </c>
      <c r="B14" s="6">
        <f t="shared" si="0"/>
        <v>0.92173981927798643</v>
      </c>
      <c r="C14" s="6">
        <f t="shared" si="0"/>
        <v>0.38594830560511167</v>
      </c>
      <c r="D14" s="6">
        <f t="shared" si="0"/>
        <v>0.17066285876484408</v>
      </c>
      <c r="E14" s="6">
        <f t="shared" si="0"/>
        <v>0.13524713570403879</v>
      </c>
      <c r="F14" s="6">
        <f t="shared" si="0"/>
        <v>3.6134980603666676E-2</v>
      </c>
      <c r="G14" s="6">
        <f t="shared" si="1"/>
        <v>7.8260180722013573E-2</v>
      </c>
      <c r="H14" s="6">
        <f t="shared" si="2"/>
        <v>0.53579151367287481</v>
      </c>
      <c r="I14" s="6">
        <f t="shared" si="3"/>
        <v>0.2152854468402676</v>
      </c>
      <c r="J14" s="6">
        <f t="shared" si="4"/>
        <v>3.5415723060805288E-2</v>
      </c>
      <c r="K14" s="6">
        <f t="shared" si="5"/>
        <v>9.9112155100372107E-2</v>
      </c>
      <c r="L14" s="6">
        <f t="shared" si="6"/>
        <v>3.6134980603666676E-2</v>
      </c>
      <c r="M14" s="12">
        <f t="shared" si="7"/>
        <v>0.393488314327958</v>
      </c>
    </row>
    <row r="15" spans="1:13" ht="18.75">
      <c r="A15" s="6">
        <v>50</v>
      </c>
      <c r="B15" s="6">
        <f t="shared" si="0"/>
        <v>0.93329124436211464</v>
      </c>
      <c r="C15" s="6">
        <f t="shared" si="0"/>
        <v>0.41839296034833073</v>
      </c>
      <c r="D15" s="6">
        <f t="shared" si="0"/>
        <v>0.1927901012197335</v>
      </c>
      <c r="E15" s="6">
        <f t="shared" si="0"/>
        <v>0.1543303137499788</v>
      </c>
      <c r="F15" s="6">
        <f t="shared" si="0"/>
        <v>4.3307981970064496E-2</v>
      </c>
      <c r="G15" s="6">
        <f t="shared" si="1"/>
        <v>6.6708755637885364E-2</v>
      </c>
      <c r="H15" s="6">
        <f t="shared" si="2"/>
        <v>0.5148982840137839</v>
      </c>
      <c r="I15" s="6">
        <f t="shared" si="3"/>
        <v>0.22560285912859723</v>
      </c>
      <c r="J15" s="6">
        <f t="shared" si="4"/>
        <v>3.8459787469754703E-2</v>
      </c>
      <c r="K15" s="6">
        <f t="shared" si="5"/>
        <v>0.1110223317799143</v>
      </c>
      <c r="L15" s="6">
        <f t="shared" si="6"/>
        <v>4.3307981970064496E-2</v>
      </c>
      <c r="M15" s="12">
        <f t="shared" si="7"/>
        <v>0.41359892174204793</v>
      </c>
    </row>
    <row r="16" spans="1:13" ht="18.75">
      <c r="A16" s="6">
        <v>60</v>
      </c>
      <c r="B16" s="6">
        <f t="shared" si="0"/>
        <v>0.94171126112141401</v>
      </c>
      <c r="C16" s="6">
        <f t="shared" si="0"/>
        <v>0.44533184525297076</v>
      </c>
      <c r="D16" s="6">
        <f t="shared" si="0"/>
        <v>0.21211082689226135</v>
      </c>
      <c r="E16" s="6">
        <f t="shared" si="0"/>
        <v>0.17118457752124672</v>
      </c>
      <c r="F16" s="6">
        <f t="shared" si="0"/>
        <v>4.9986632948962731E-2</v>
      </c>
      <c r="G16" s="6">
        <f t="shared" si="1"/>
        <v>5.8288738878585988E-2</v>
      </c>
      <c r="H16" s="6">
        <f t="shared" si="2"/>
        <v>0.49637941586844325</v>
      </c>
      <c r="I16" s="6">
        <f t="shared" si="3"/>
        <v>0.23322101836070941</v>
      </c>
      <c r="J16" s="6">
        <f t="shared" si="4"/>
        <v>4.0926249371014634E-2</v>
      </c>
      <c r="K16" s="6">
        <f t="shared" si="5"/>
        <v>0.12119794457228399</v>
      </c>
      <c r="L16" s="6">
        <f t="shared" si="6"/>
        <v>4.9986632948962731E-2</v>
      </c>
      <c r="M16" s="12">
        <f t="shared" si="7"/>
        <v>0.43046483323974477</v>
      </c>
    </row>
    <row r="17" spans="1:13" ht="18.75">
      <c r="A17" s="6">
        <v>70</v>
      </c>
      <c r="B17" s="6">
        <f t="shared" si="0"/>
        <v>0.94815840251304495</v>
      </c>
      <c r="C17" s="6">
        <f t="shared" si="0"/>
        <v>0.46831226931906789</v>
      </c>
      <c r="D17" s="6">
        <f t="shared" si="0"/>
        <v>0.22929603348094266</v>
      </c>
      <c r="E17" s="6">
        <f t="shared" si="0"/>
        <v>0.18631892879142675</v>
      </c>
      <c r="F17" s="6">
        <f t="shared" si="0"/>
        <v>5.6252714054486681E-2</v>
      </c>
      <c r="G17" s="6">
        <f t="shared" si="1"/>
        <v>5.1841597486955049E-2</v>
      </c>
      <c r="H17" s="6">
        <f t="shared" si="2"/>
        <v>0.47984613319397706</v>
      </c>
      <c r="I17" s="6">
        <f t="shared" si="3"/>
        <v>0.23901623583812523</v>
      </c>
      <c r="J17" s="6">
        <f t="shared" si="4"/>
        <v>4.2977104689515905E-2</v>
      </c>
      <c r="K17" s="6">
        <f t="shared" si="5"/>
        <v>0.13006621473694008</v>
      </c>
      <c r="L17" s="6">
        <f t="shared" si="6"/>
        <v>5.6252714054486681E-2</v>
      </c>
      <c r="M17" s="12">
        <f t="shared" si="7"/>
        <v>0.44501478705242653</v>
      </c>
    </row>
    <row r="18" spans="1:13" ht="18.75">
      <c r="A18" s="6">
        <v>80</v>
      </c>
      <c r="B18" s="6">
        <f t="shared" si="0"/>
        <v>0.95327309436664731</v>
      </c>
      <c r="C18" s="6">
        <f t="shared" si="0"/>
        <v>0.48830736169750266</v>
      </c>
      <c r="D18" s="6">
        <f t="shared" si="0"/>
        <v>0.24479300442859181</v>
      </c>
      <c r="E18" s="6">
        <f t="shared" si="0"/>
        <v>0.20007780019660906</v>
      </c>
      <c r="F18" s="6">
        <f t="shared" si="0"/>
        <v>6.2167216195555153E-2</v>
      </c>
      <c r="G18" s="6">
        <f t="shared" si="1"/>
        <v>4.6726905633352689E-2</v>
      </c>
      <c r="H18" s="6">
        <f t="shared" si="2"/>
        <v>0.46496573266914465</v>
      </c>
      <c r="I18" s="6">
        <f t="shared" si="3"/>
        <v>0.24351435726891085</v>
      </c>
      <c r="J18" s="6">
        <f t="shared" si="4"/>
        <v>4.4715204231982747E-2</v>
      </c>
      <c r="K18" s="6">
        <f t="shared" si="5"/>
        <v>0.13791058400105391</v>
      </c>
      <c r="L18" s="6">
        <f t="shared" si="6"/>
        <v>6.2167216195555153E-2</v>
      </c>
      <c r="M18" s="12">
        <f t="shared" si="7"/>
        <v>0.4578217567722323</v>
      </c>
    </row>
    <row r="19" spans="1:13" ht="18.75">
      <c r="A19" s="6">
        <v>90</v>
      </c>
      <c r="B19" s="6">
        <f t="shared" si="0"/>
        <v>0.95744104801618413</v>
      </c>
      <c r="C19" s="6">
        <f t="shared" si="0"/>
        <v>0.50597036383873384</v>
      </c>
      <c r="D19" s="6">
        <f t="shared" si="0"/>
        <v>0.25891691515773957</v>
      </c>
      <c r="E19" s="6">
        <f t="shared" si="0"/>
        <v>0.21270692161975963</v>
      </c>
      <c r="F19" s="6">
        <f t="shared" si="0"/>
        <v>6.7777149020226746E-2</v>
      </c>
      <c r="G19" s="6">
        <f t="shared" si="1"/>
        <v>4.2558951983815874E-2</v>
      </c>
      <c r="H19" s="6">
        <f t="shared" si="2"/>
        <v>0.45147068417745029</v>
      </c>
      <c r="I19" s="6">
        <f t="shared" si="3"/>
        <v>0.24705344868099427</v>
      </c>
      <c r="J19" s="6">
        <f t="shared" si="4"/>
        <v>4.6209993537979943E-2</v>
      </c>
      <c r="K19" s="6">
        <f t="shared" si="5"/>
        <v>0.14492977259953288</v>
      </c>
      <c r="L19" s="6">
        <f t="shared" si="6"/>
        <v>6.7777149020226746E-2</v>
      </c>
      <c r="M19" s="12">
        <f t="shared" si="7"/>
        <v>0.46926583489815105</v>
      </c>
    </row>
    <row r="20" spans="1:13" ht="18.75">
      <c r="A20" s="6">
        <v>100</v>
      </c>
      <c r="B20" s="6">
        <f t="shared" ref="B20:F29" si="8">IF($A20&lt;=0,0,_xlfn.NORM.S.DIST((LN($A20)-C$5)/$B$6,TRUE()))</f>
        <v>0.96090974711971544</v>
      </c>
      <c r="C20" s="6">
        <f t="shared" si="8"/>
        <v>0.52176157464157991</v>
      </c>
      <c r="D20" s="6">
        <f t="shared" si="8"/>
        <v>0.27189928359264454</v>
      </c>
      <c r="E20" s="6">
        <f t="shared" si="8"/>
        <v>0.22438871267825819</v>
      </c>
      <c r="F20" s="6">
        <f t="shared" si="8"/>
        <v>7.3119715493145762E-2</v>
      </c>
      <c r="G20" s="6">
        <f t="shared" si="1"/>
        <v>3.9090252880284559E-2</v>
      </c>
      <c r="H20" s="6">
        <f t="shared" si="2"/>
        <v>0.43914817247813553</v>
      </c>
      <c r="I20" s="6">
        <f t="shared" si="3"/>
        <v>0.24986229104893537</v>
      </c>
      <c r="J20" s="6">
        <f t="shared" si="4"/>
        <v>4.7510570914386346E-2</v>
      </c>
      <c r="K20" s="6">
        <f t="shared" si="5"/>
        <v>0.15126899718511244</v>
      </c>
      <c r="L20" s="6">
        <f t="shared" si="6"/>
        <v>7.3119715493145762E-2</v>
      </c>
      <c r="M20" s="12">
        <f t="shared" si="7"/>
        <v>0.47961292978953829</v>
      </c>
    </row>
    <row r="21" spans="1:13" ht="18.75">
      <c r="A21" s="6">
        <v>110</v>
      </c>
      <c r="B21" s="6">
        <f t="shared" si="8"/>
        <v>0.96384592579840933</v>
      </c>
      <c r="C21" s="6">
        <f t="shared" si="8"/>
        <v>0.5360177661570078</v>
      </c>
      <c r="D21" s="6">
        <f t="shared" si="8"/>
        <v>0.28391577834492665</v>
      </c>
      <c r="E21" s="6">
        <f t="shared" si="8"/>
        <v>0.23526286351817918</v>
      </c>
      <c r="F21" s="6">
        <f t="shared" si="8"/>
        <v>7.8224998134881429E-2</v>
      </c>
      <c r="G21" s="6">
        <f t="shared" si="1"/>
        <v>3.6154074201590669E-2</v>
      </c>
      <c r="H21" s="6">
        <f t="shared" si="2"/>
        <v>0.42782815964140153</v>
      </c>
      <c r="I21" s="6">
        <f t="shared" si="3"/>
        <v>0.25210198781208115</v>
      </c>
      <c r="J21" s="6">
        <f t="shared" si="4"/>
        <v>4.8652914826747468E-2</v>
      </c>
      <c r="K21" s="6">
        <f t="shared" si="5"/>
        <v>0.15703786538329775</v>
      </c>
      <c r="L21" s="6">
        <f t="shared" si="6"/>
        <v>7.8224998134881429E-2</v>
      </c>
      <c r="M21" s="12">
        <f t="shared" si="7"/>
        <v>0.48905679691630094</v>
      </c>
    </row>
    <row r="22" spans="1:13" ht="18.75">
      <c r="A22" s="6">
        <v>120</v>
      </c>
      <c r="B22" s="6">
        <f t="shared" si="8"/>
        <v>0.96636636528563535</v>
      </c>
      <c r="C22" s="6">
        <f t="shared" si="8"/>
        <v>0.54899285299340539</v>
      </c>
      <c r="D22" s="6">
        <f t="shared" si="8"/>
        <v>0.29510320521264688</v>
      </c>
      <c r="E22" s="6">
        <f t="shared" si="8"/>
        <v>0.24543904720936566</v>
      </c>
      <c r="F22" s="6">
        <f t="shared" si="8"/>
        <v>8.3117759582148301E-2</v>
      </c>
      <c r="G22" s="6">
        <f t="shared" si="1"/>
        <v>3.3633634714364646E-2</v>
      </c>
      <c r="H22" s="6">
        <f t="shared" si="2"/>
        <v>0.41737351229222996</v>
      </c>
      <c r="I22" s="6">
        <f t="shared" si="3"/>
        <v>0.25388964778075851</v>
      </c>
      <c r="J22" s="6">
        <f t="shared" si="4"/>
        <v>4.9664158003281222E-2</v>
      </c>
      <c r="K22" s="6">
        <f t="shared" si="5"/>
        <v>0.16232128762721737</v>
      </c>
      <c r="L22" s="6">
        <f t="shared" si="6"/>
        <v>8.3117759582148301E-2</v>
      </c>
      <c r="M22" s="12">
        <f t="shared" si="7"/>
        <v>0.49774323891254157</v>
      </c>
    </row>
    <row r="23" spans="1:13" ht="18.75">
      <c r="A23" s="6">
        <v>130</v>
      </c>
      <c r="B23" s="6">
        <f t="shared" si="8"/>
        <v>0.96855549374600158</v>
      </c>
      <c r="C23" s="6">
        <f t="shared" si="8"/>
        <v>0.5608830489607558</v>
      </c>
      <c r="D23" s="6">
        <f t="shared" si="8"/>
        <v>0.30557040683793524</v>
      </c>
      <c r="E23" s="6">
        <f t="shared" si="8"/>
        <v>0.25500515627045428</v>
      </c>
      <c r="F23" s="6">
        <f t="shared" si="8"/>
        <v>8.7818691638344146E-2</v>
      </c>
      <c r="G23" s="6">
        <f t="shared" si="1"/>
        <v>3.1444506253998417E-2</v>
      </c>
      <c r="H23" s="6">
        <f t="shared" si="2"/>
        <v>0.40767244478524578</v>
      </c>
      <c r="I23" s="6">
        <f t="shared" si="3"/>
        <v>0.25531264212282057</v>
      </c>
      <c r="J23" s="6">
        <f t="shared" si="4"/>
        <v>5.0565250567480957E-2</v>
      </c>
      <c r="K23" s="6">
        <f t="shared" si="5"/>
        <v>0.16718646463211012</v>
      </c>
      <c r="L23" s="6">
        <f t="shared" si="6"/>
        <v>8.7818691638344146E-2</v>
      </c>
      <c r="M23" s="12">
        <f t="shared" si="7"/>
        <v>0.50578487999057564</v>
      </c>
    </row>
    <row r="24" spans="1:13" ht="18.75">
      <c r="A24" s="6">
        <v>140</v>
      </c>
      <c r="B24" s="6">
        <f t="shared" si="8"/>
        <v>0.97047598094271559</v>
      </c>
      <c r="C24" s="6">
        <f t="shared" si="8"/>
        <v>0.57184312674821647</v>
      </c>
      <c r="D24" s="6">
        <f t="shared" si="8"/>
        <v>0.31540554178664915</v>
      </c>
      <c r="E24" s="6">
        <f t="shared" si="8"/>
        <v>0.26403285060228615</v>
      </c>
      <c r="F24" s="6">
        <f t="shared" si="8"/>
        <v>9.2345307282427624E-2</v>
      </c>
      <c r="G24" s="6">
        <f t="shared" si="1"/>
        <v>2.9524019057284412E-2</v>
      </c>
      <c r="H24" s="6">
        <f t="shared" si="2"/>
        <v>0.39863285419449912</v>
      </c>
      <c r="I24" s="6">
        <f t="shared" si="3"/>
        <v>0.25643758496156732</v>
      </c>
      <c r="J24" s="6">
        <f t="shared" si="4"/>
        <v>5.1372691184362995E-2</v>
      </c>
      <c r="K24" s="6">
        <f t="shared" si="5"/>
        <v>0.17168754331985853</v>
      </c>
      <c r="L24" s="6">
        <f t="shared" si="6"/>
        <v>9.2345307282427624E-2</v>
      </c>
      <c r="M24" s="12">
        <f t="shared" si="7"/>
        <v>0.51327062068798102</v>
      </c>
    </row>
    <row r="25" spans="1:13" ht="18.75">
      <c r="A25" s="6">
        <v>150</v>
      </c>
      <c r="B25" s="6">
        <f t="shared" si="8"/>
        <v>0.97217539529664532</v>
      </c>
      <c r="C25" s="6">
        <f t="shared" si="8"/>
        <v>0.5819973159114018</v>
      </c>
      <c r="D25" s="6">
        <f t="shared" si="8"/>
        <v>0.32468110949185797</v>
      </c>
      <c r="E25" s="6">
        <f t="shared" si="8"/>
        <v>0.27258141692670129</v>
      </c>
      <c r="F25" s="6">
        <f t="shared" si="8"/>
        <v>9.6712593703664446E-2</v>
      </c>
      <c r="G25" s="6">
        <f t="shared" si="1"/>
        <v>2.7824604703354683E-2</v>
      </c>
      <c r="H25" s="6">
        <f t="shared" si="2"/>
        <v>0.39017807938524351</v>
      </c>
      <c r="I25" s="6">
        <f t="shared" si="3"/>
        <v>0.25731620641954384</v>
      </c>
      <c r="J25" s="6">
        <f t="shared" si="4"/>
        <v>5.2099692565156674E-2</v>
      </c>
      <c r="K25" s="6">
        <f t="shared" si="5"/>
        <v>0.17586882322303685</v>
      </c>
      <c r="L25" s="6">
        <f t="shared" si="6"/>
        <v>9.6712593703664446E-2</v>
      </c>
      <c r="M25" s="12">
        <f t="shared" si="7"/>
        <v>0.52027192708434788</v>
      </c>
    </row>
    <row r="26" spans="1:13" ht="18.75">
      <c r="A26" s="6">
        <v>160</v>
      </c>
      <c r="B26" s="6">
        <f t="shared" si="8"/>
        <v>0.97369054010219347</v>
      </c>
      <c r="C26" s="6">
        <f t="shared" si="8"/>
        <v>0.59144683398780273</v>
      </c>
      <c r="D26" s="6">
        <f t="shared" si="8"/>
        <v>0.33345751744102392</v>
      </c>
      <c r="E26" s="6">
        <f t="shared" si="8"/>
        <v>0.28070052773108445</v>
      </c>
      <c r="F26" s="6">
        <f t="shared" si="8"/>
        <v>0.10093350073020455</v>
      </c>
      <c r="G26" s="6">
        <f t="shared" si="1"/>
        <v>2.6309459897806531E-2</v>
      </c>
      <c r="H26" s="6">
        <f t="shared" si="2"/>
        <v>0.38224370611439074</v>
      </c>
      <c r="I26" s="6">
        <f t="shared" si="3"/>
        <v>0.25798931654677881</v>
      </c>
      <c r="J26" s="6">
        <f t="shared" si="4"/>
        <v>5.2756989709939472E-2</v>
      </c>
      <c r="K26" s="6">
        <f t="shared" si="5"/>
        <v>0.1797670270008799</v>
      </c>
      <c r="L26" s="6">
        <f t="shared" si="6"/>
        <v>0.10093350073020455</v>
      </c>
      <c r="M26" s="12">
        <f t="shared" si="7"/>
        <v>0.5268471521154382</v>
      </c>
    </row>
    <row r="27" spans="1:13" ht="18.75">
      <c r="A27" s="6">
        <v>170</v>
      </c>
      <c r="B27" s="6">
        <f t="shared" si="8"/>
        <v>0.97505036602374062</v>
      </c>
      <c r="C27" s="6">
        <f t="shared" si="8"/>
        <v>0.60027522860865157</v>
      </c>
      <c r="D27" s="6">
        <f t="shared" si="8"/>
        <v>0.34178567480435362</v>
      </c>
      <c r="E27" s="6">
        <f t="shared" si="8"/>
        <v>0.2884322600437168</v>
      </c>
      <c r="F27" s="6">
        <f t="shared" si="8"/>
        <v>0.1050193130160743</v>
      </c>
      <c r="G27" s="6">
        <f t="shared" si="1"/>
        <v>2.4949633976259378E-2</v>
      </c>
      <c r="H27" s="6">
        <f t="shared" si="2"/>
        <v>0.37477513741508905</v>
      </c>
      <c r="I27" s="6">
        <f t="shared" si="3"/>
        <v>0.25848955380429794</v>
      </c>
      <c r="J27" s="6">
        <f t="shared" si="4"/>
        <v>5.3353414760636819E-2</v>
      </c>
      <c r="K27" s="6">
        <f t="shared" si="5"/>
        <v>0.18341294702764249</v>
      </c>
      <c r="L27" s="6">
        <f t="shared" si="6"/>
        <v>0.1050193130160743</v>
      </c>
      <c r="M27" s="12">
        <f t="shared" si="7"/>
        <v>0.53304458766735141</v>
      </c>
    </row>
    <row r="28" spans="1:13" ht="18.75">
      <c r="A28" s="6">
        <v>180</v>
      </c>
      <c r="B28" s="6">
        <f t="shared" si="8"/>
        <v>0.97627797982666586</v>
      </c>
      <c r="C28" s="6">
        <f t="shared" si="8"/>
        <v>0.60855225338417585</v>
      </c>
      <c r="D28" s="6">
        <f t="shared" si="8"/>
        <v>0.34970891766856577</v>
      </c>
      <c r="E28" s="6">
        <f t="shared" si="8"/>
        <v>0.29581260275819787</v>
      </c>
      <c r="F28" s="6">
        <f t="shared" si="8"/>
        <v>0.10897993833139659</v>
      </c>
      <c r="G28" s="6">
        <f t="shared" si="1"/>
        <v>2.3722020173334135E-2</v>
      </c>
      <c r="H28" s="6">
        <f t="shared" si="2"/>
        <v>0.36772572644249002</v>
      </c>
      <c r="I28" s="6">
        <f t="shared" si="3"/>
        <v>0.25884333571561008</v>
      </c>
      <c r="J28" s="6">
        <f t="shared" si="4"/>
        <v>5.3896314910367893E-2</v>
      </c>
      <c r="K28" s="6">
        <f t="shared" si="5"/>
        <v>0.1868326644268013</v>
      </c>
      <c r="L28" s="6">
        <f t="shared" si="6"/>
        <v>0.10897993833139659</v>
      </c>
      <c r="M28" s="12">
        <f t="shared" si="7"/>
        <v>0.53890467196672132</v>
      </c>
    </row>
    <row r="29" spans="1:13" ht="18.75">
      <c r="A29" s="6">
        <v>190</v>
      </c>
      <c r="B29" s="6">
        <f t="shared" si="8"/>
        <v>0.97739206216603081</v>
      </c>
      <c r="C29" s="6">
        <f t="shared" si="8"/>
        <v>0.61633673599713079</v>
      </c>
      <c r="D29" s="6">
        <f t="shared" si="8"/>
        <v>0.35726446424917402</v>
      </c>
      <c r="E29" s="6">
        <f t="shared" si="8"/>
        <v>0.30287260215798484</v>
      </c>
      <c r="F29" s="6">
        <f t="shared" si="8"/>
        <v>0.11282413412534113</v>
      </c>
      <c r="G29" s="6">
        <f t="shared" si="1"/>
        <v>2.2607937833969194E-2</v>
      </c>
      <c r="H29" s="6">
        <f t="shared" si="2"/>
        <v>0.36105532616890001</v>
      </c>
      <c r="I29" s="6">
        <f t="shared" si="3"/>
        <v>0.25907227174795677</v>
      </c>
      <c r="J29" s="6">
        <f t="shared" si="4"/>
        <v>5.439186209118918E-2</v>
      </c>
      <c r="K29" s="6">
        <f t="shared" si="5"/>
        <v>0.19004846803264369</v>
      </c>
      <c r="L29" s="6">
        <f t="shared" si="6"/>
        <v>0.11282413412534113</v>
      </c>
      <c r="M29" s="12">
        <f t="shared" si="7"/>
        <v>0.54446161933931569</v>
      </c>
    </row>
    <row r="30" spans="1:13" ht="18.75">
      <c r="A30" s="6">
        <v>200</v>
      </c>
      <c r="B30" s="6">
        <f t="shared" ref="B30:F39" si="9">IF($A30&lt;=0,0,_xlfn.NORM.S.DIST((LN($A30)-C$5)/$B$6,TRUE()))</f>
        <v>0.97840788884090346</v>
      </c>
      <c r="C30" s="6">
        <f t="shared" si="9"/>
        <v>0.62367873775902627</v>
      </c>
      <c r="D30" s="6">
        <f t="shared" si="9"/>
        <v>0.36448453255541924</v>
      </c>
      <c r="E30" s="6">
        <f t="shared" si="9"/>
        <v>0.30963924617987126</v>
      </c>
      <c r="F30" s="6">
        <f t="shared" si="9"/>
        <v>0.11655968789130282</v>
      </c>
      <c r="G30" s="6">
        <f t="shared" si="1"/>
        <v>2.1592111159096539E-2</v>
      </c>
      <c r="H30" s="6">
        <f t="shared" si="2"/>
        <v>0.35472915108187719</v>
      </c>
      <c r="I30" s="6">
        <f t="shared" si="3"/>
        <v>0.25919420520360703</v>
      </c>
      <c r="J30" s="6">
        <f t="shared" si="4"/>
        <v>5.4845286375547975E-2</v>
      </c>
      <c r="K30" s="6">
        <f t="shared" si="5"/>
        <v>0.19307955828856843</v>
      </c>
      <c r="L30" s="6">
        <f t="shared" si="6"/>
        <v>0.11655968789130282</v>
      </c>
      <c r="M30" s="12">
        <f t="shared" si="7"/>
        <v>0.54974464550494817</v>
      </c>
    </row>
    <row r="31" spans="1:13" ht="18.75">
      <c r="A31" s="6">
        <v>210</v>
      </c>
      <c r="B31" s="6">
        <f t="shared" si="9"/>
        <v>0.97933807981570786</v>
      </c>
      <c r="C31" s="6">
        <f t="shared" si="9"/>
        <v>0.63062120496936791</v>
      </c>
      <c r="D31" s="6">
        <f t="shared" si="9"/>
        <v>0.37139721109420998</v>
      </c>
      <c r="E31" s="6">
        <f t="shared" si="9"/>
        <v>0.31613615654845584</v>
      </c>
      <c r="F31" s="6">
        <f t="shared" si="9"/>
        <v>0.12019356242551073</v>
      </c>
      <c r="G31" s="6">
        <f t="shared" si="1"/>
        <v>2.0661920184292137E-2</v>
      </c>
      <c r="H31" s="6">
        <f t="shared" si="2"/>
        <v>0.34871687484633995</v>
      </c>
      <c r="I31" s="6">
        <f t="shared" si="3"/>
        <v>0.25922399387515793</v>
      </c>
      <c r="J31" s="6">
        <f t="shared" si="4"/>
        <v>5.526105454575414E-2</v>
      </c>
      <c r="K31" s="6">
        <f t="shared" si="5"/>
        <v>0.19594259412294512</v>
      </c>
      <c r="L31" s="6">
        <f t="shared" si="6"/>
        <v>0.12019356242551073</v>
      </c>
      <c r="M31" s="12">
        <f t="shared" si="7"/>
        <v>0.55477890369464089</v>
      </c>
    </row>
    <row r="32" spans="1:13" ht="18.75">
      <c r="A32" s="6">
        <v>220</v>
      </c>
      <c r="B32" s="6">
        <f t="shared" si="9"/>
        <v>0.980193157508501</v>
      </c>
      <c r="C32" s="6">
        <f t="shared" si="9"/>
        <v>0.63720124923051735</v>
      </c>
      <c r="D32" s="6">
        <f t="shared" si="9"/>
        <v>0.37802714587005692</v>
      </c>
      <c r="E32" s="6">
        <f t="shared" si="9"/>
        <v>0.32238413730745963</v>
      </c>
      <c r="F32" s="6">
        <f t="shared" si="9"/>
        <v>0.12373201403925603</v>
      </c>
      <c r="G32" s="6">
        <f t="shared" si="1"/>
        <v>1.9806842491498999E-2</v>
      </c>
      <c r="H32" s="6">
        <f t="shared" si="2"/>
        <v>0.34299190827798365</v>
      </c>
      <c r="I32" s="6">
        <f t="shared" si="3"/>
        <v>0.25917410336046043</v>
      </c>
      <c r="J32" s="6">
        <f t="shared" si="4"/>
        <v>5.5643008562597296E-2</v>
      </c>
      <c r="K32" s="6">
        <f t="shared" si="5"/>
        <v>0.19865212326820358</v>
      </c>
      <c r="L32" s="6">
        <f t="shared" si="6"/>
        <v>0.12373201403925603</v>
      </c>
      <c r="M32" s="12">
        <f t="shared" si="7"/>
        <v>0.55958621015231336</v>
      </c>
    </row>
    <row r="33" spans="1:13" ht="18.75">
      <c r="A33" s="6">
        <v>230</v>
      </c>
      <c r="B33" s="6">
        <f t="shared" si="9"/>
        <v>0.98098196899337287</v>
      </c>
      <c r="C33" s="6">
        <f t="shared" si="9"/>
        <v>0.64345115250337981</v>
      </c>
      <c r="D33" s="6">
        <f t="shared" si="9"/>
        <v>0.38439608868910347</v>
      </c>
      <c r="E33" s="6">
        <f t="shared" si="9"/>
        <v>0.32840161444222382</v>
      </c>
      <c r="F33" s="6">
        <f t="shared" si="9"/>
        <v>0.12718068967466406</v>
      </c>
      <c r="G33" s="6">
        <f t="shared" si="1"/>
        <v>1.9018031006627134E-2</v>
      </c>
      <c r="H33" s="6">
        <f t="shared" si="2"/>
        <v>0.33753081648999306</v>
      </c>
      <c r="I33" s="6">
        <f t="shared" si="3"/>
        <v>0.25905506381427634</v>
      </c>
      <c r="J33" s="6">
        <f t="shared" si="4"/>
        <v>5.5994474246879644E-2</v>
      </c>
      <c r="K33" s="6">
        <f t="shared" si="5"/>
        <v>0.20122092476755976</v>
      </c>
      <c r="L33" s="6">
        <f t="shared" si="6"/>
        <v>0.12718068967466406</v>
      </c>
      <c r="M33" s="12">
        <f t="shared" si="7"/>
        <v>0.5641856136802641</v>
      </c>
    </row>
    <row r="34" spans="1:13" ht="18.75">
      <c r="A34" s="6">
        <v>240</v>
      </c>
      <c r="B34" s="6">
        <f t="shared" si="9"/>
        <v>0.98171200950270998</v>
      </c>
      <c r="C34" s="6">
        <f t="shared" si="9"/>
        <v>0.64939916500688644</v>
      </c>
      <c r="D34" s="6">
        <f t="shared" si="9"/>
        <v>0.39052333933465794</v>
      </c>
      <c r="E34" s="6">
        <f t="shared" si="9"/>
        <v>0.33420499181230712</v>
      </c>
      <c r="F34" s="6">
        <f t="shared" si="9"/>
        <v>0.13054470737887638</v>
      </c>
      <c r="G34" s="6">
        <f t="shared" si="1"/>
        <v>1.8287990497290019E-2</v>
      </c>
      <c r="H34" s="6">
        <f t="shared" si="2"/>
        <v>0.33231284449582355</v>
      </c>
      <c r="I34" s="6">
        <f t="shared" si="3"/>
        <v>0.2588758256722285</v>
      </c>
      <c r="J34" s="6">
        <f t="shared" si="4"/>
        <v>5.631834752235082E-2</v>
      </c>
      <c r="K34" s="6">
        <f t="shared" si="5"/>
        <v>0.20366028443343073</v>
      </c>
      <c r="L34" s="6">
        <f t="shared" si="6"/>
        <v>0.13054470737887638</v>
      </c>
      <c r="M34" s="12">
        <f t="shared" si="7"/>
        <v>0.56859384797079726</v>
      </c>
    </row>
    <row r="35" spans="1:13" ht="18.75">
      <c r="A35" s="6">
        <v>250</v>
      </c>
      <c r="B35" s="6">
        <f t="shared" si="9"/>
        <v>0.98238967327396409</v>
      </c>
      <c r="C35" s="6">
        <f t="shared" si="9"/>
        <v>0.65507014517115636</v>
      </c>
      <c r="D35" s="6">
        <f t="shared" si="9"/>
        <v>0.39642610554084923</v>
      </c>
      <c r="E35" s="6">
        <f t="shared" si="9"/>
        <v>0.33980894200162548</v>
      </c>
      <c r="F35" s="6">
        <f t="shared" si="9"/>
        <v>0.13382872351542852</v>
      </c>
      <c r="G35" s="6">
        <f t="shared" si="1"/>
        <v>1.7610326726035908E-2</v>
      </c>
      <c r="H35" s="6">
        <f t="shared" si="2"/>
        <v>0.32731952810280773</v>
      </c>
      <c r="I35" s="6">
        <f t="shared" si="3"/>
        <v>0.25864403963030713</v>
      </c>
      <c r="J35" s="6">
        <f t="shared" si="4"/>
        <v>5.6617163539223747E-2</v>
      </c>
      <c r="K35" s="6">
        <f t="shared" si="5"/>
        <v>0.20598021848619696</v>
      </c>
      <c r="L35" s="6">
        <f t="shared" si="6"/>
        <v>0.13382872351542852</v>
      </c>
      <c r="M35" s="12">
        <f t="shared" si="7"/>
        <v>0.57282569464827904</v>
      </c>
    </row>
    <row r="36" spans="1:13" ht="18.75">
      <c r="A36" s="6">
        <v>260</v>
      </c>
      <c r="B36" s="6">
        <f t="shared" si="9"/>
        <v>0.98302045018568718</v>
      </c>
      <c r="C36" s="6">
        <f t="shared" si="9"/>
        <v>0.66048607772788315</v>
      </c>
      <c r="D36" s="6">
        <f t="shared" si="9"/>
        <v>0.40211979858733099</v>
      </c>
      <c r="E36" s="6">
        <f t="shared" si="9"/>
        <v>0.34522664600311537</v>
      </c>
      <c r="F36" s="6">
        <f t="shared" si="9"/>
        <v>0.13703698930582942</v>
      </c>
      <c r="G36" s="6">
        <f t="shared" si="1"/>
        <v>1.6979549814312822E-2</v>
      </c>
      <c r="H36" s="6">
        <f t="shared" si="2"/>
        <v>0.32253437245780403</v>
      </c>
      <c r="I36" s="6">
        <f t="shared" si="3"/>
        <v>0.25836627914055216</v>
      </c>
      <c r="J36" s="6">
        <f t="shared" si="4"/>
        <v>5.6893152584215623E-2</v>
      </c>
      <c r="K36" s="6">
        <f t="shared" si="5"/>
        <v>0.20818965669728595</v>
      </c>
      <c r="L36" s="6">
        <f t="shared" si="6"/>
        <v>0.13703698930582942</v>
      </c>
      <c r="M36" s="12">
        <f t="shared" si="7"/>
        <v>0.57689427745627553</v>
      </c>
    </row>
    <row r="37" spans="1:13" ht="18.75">
      <c r="A37" s="6">
        <v>270</v>
      </c>
      <c r="B37" s="6">
        <f t="shared" si="9"/>
        <v>0.98360908144260795</v>
      </c>
      <c r="C37" s="6">
        <f t="shared" si="9"/>
        <v>0.66566649675276657</v>
      </c>
      <c r="D37" s="6">
        <f t="shared" si="9"/>
        <v>0.40761827795971839</v>
      </c>
      <c r="E37" s="6">
        <f t="shared" si="9"/>
        <v>0.35046999227660725</v>
      </c>
      <c r="F37" s="6">
        <f t="shared" si="9"/>
        <v>0.14017339871294807</v>
      </c>
      <c r="G37" s="6">
        <f t="shared" si="1"/>
        <v>1.6390918557392054E-2</v>
      </c>
      <c r="H37" s="6">
        <f t="shared" si="2"/>
        <v>0.31794258468984138</v>
      </c>
      <c r="I37" s="6">
        <f t="shared" si="3"/>
        <v>0.25804821879304818</v>
      </c>
      <c r="J37" s="6">
        <f t="shared" si="4"/>
        <v>5.7148285683111144E-2</v>
      </c>
      <c r="K37" s="6">
        <f t="shared" si="5"/>
        <v>0.21029659356365918</v>
      </c>
      <c r="L37" s="6">
        <f t="shared" si="6"/>
        <v>0.14017339871294807</v>
      </c>
      <c r="M37" s="12">
        <f t="shared" si="7"/>
        <v>0.58081130275155912</v>
      </c>
    </row>
    <row r="38" spans="1:13" ht="18.75">
      <c r="A38" s="6">
        <v>280</v>
      </c>
      <c r="B38" s="6">
        <f t="shared" si="9"/>
        <v>0.98415968397374365</v>
      </c>
      <c r="C38" s="6">
        <f t="shared" si="9"/>
        <v>0.67062883383251648</v>
      </c>
      <c r="D38" s="6">
        <f t="shared" si="9"/>
        <v>0.41293405533553218</v>
      </c>
      <c r="E38" s="6">
        <f t="shared" si="9"/>
        <v>0.35554974325153132</v>
      </c>
      <c r="F38" s="6">
        <f t="shared" si="9"/>
        <v>0.14324152924236699</v>
      </c>
      <c r="G38" s="6">
        <f t="shared" si="1"/>
        <v>1.5840316026256351E-2</v>
      </c>
      <c r="H38" s="6">
        <f t="shared" si="2"/>
        <v>0.31353085014122717</v>
      </c>
      <c r="I38" s="6">
        <f t="shared" si="3"/>
        <v>0.2576947784969843</v>
      </c>
      <c r="J38" s="6">
        <f t="shared" si="4"/>
        <v>5.7384312084000855E-2</v>
      </c>
      <c r="K38" s="6">
        <f t="shared" si="5"/>
        <v>0.21230821400916433</v>
      </c>
      <c r="L38" s="6">
        <f t="shared" si="6"/>
        <v>0.14324152924236699</v>
      </c>
      <c r="M38" s="12">
        <f t="shared" si="7"/>
        <v>0.58458725769741449</v>
      </c>
    </row>
    <row r="39" spans="1:13" ht="18.75">
      <c r="A39" s="6">
        <v>290</v>
      </c>
      <c r="B39" s="6">
        <f t="shared" si="9"/>
        <v>0.9846758506761818</v>
      </c>
      <c r="C39" s="6">
        <f t="shared" si="9"/>
        <v>0.67538870670385776</v>
      </c>
      <c r="D39" s="6">
        <f t="shared" si="9"/>
        <v>0.41807846580858832</v>
      </c>
      <c r="E39" s="6">
        <f t="shared" si="9"/>
        <v>0.36047567552148851</v>
      </c>
      <c r="F39" s="6">
        <f t="shared" si="9"/>
        <v>0.14624467690808626</v>
      </c>
      <c r="G39" s="6">
        <f t="shared" si="1"/>
        <v>1.5324149323818204E-2</v>
      </c>
      <c r="H39" s="6">
        <f t="shared" si="2"/>
        <v>0.30928714397232404</v>
      </c>
      <c r="I39" s="6">
        <f t="shared" si="3"/>
        <v>0.25731024089526944</v>
      </c>
      <c r="J39" s="6">
        <f t="shared" si="4"/>
        <v>5.7602790287099803E-2</v>
      </c>
      <c r="K39" s="6">
        <f t="shared" si="5"/>
        <v>0.21423099861340225</v>
      </c>
      <c r="L39" s="6">
        <f t="shared" si="6"/>
        <v>0.14624467690808626</v>
      </c>
      <c r="M39" s="12">
        <f t="shared" si="7"/>
        <v>0.58823157481618893</v>
      </c>
    </row>
    <row r="40" spans="1:13" ht="18.75">
      <c r="A40" s="6">
        <v>300</v>
      </c>
      <c r="B40" s="6">
        <f t="shared" ref="B40:F49" si="10">IF($A40&lt;=0,0,_xlfn.NORM.S.DIST((LN($A40)-C$5)/$B$6,TRUE()))</f>
        <v>0.98516073183039721</v>
      </c>
      <c r="C40" s="6">
        <f t="shared" si="10"/>
        <v>0.67996016016290373</v>
      </c>
      <c r="D40" s="6">
        <f t="shared" si="10"/>
        <v>0.42306181251487318</v>
      </c>
      <c r="E40" s="6">
        <f t="shared" si="10"/>
        <v>0.36525669861243359</v>
      </c>
      <c r="F40" s="6">
        <f t="shared" si="10"/>
        <v>0.14918588635659963</v>
      </c>
      <c r="G40" s="6">
        <f t="shared" si="1"/>
        <v>1.4839268169602793E-2</v>
      </c>
      <c r="H40" s="6">
        <f t="shared" si="2"/>
        <v>0.30520057166749348</v>
      </c>
      <c r="I40" s="6">
        <f t="shared" si="3"/>
        <v>0.25689834764803055</v>
      </c>
      <c r="J40" s="6">
        <f t="shared" si="4"/>
        <v>5.7805113902439587E-2</v>
      </c>
      <c r="K40" s="6">
        <f t="shared" si="5"/>
        <v>0.21607081225583397</v>
      </c>
      <c r="L40" s="6">
        <f t="shared" si="6"/>
        <v>0.14918588635659963</v>
      </c>
      <c r="M40" s="12">
        <f t="shared" si="7"/>
        <v>0.59175276955456857</v>
      </c>
    </row>
    <row r="41" spans="1:13" ht="18.75">
      <c r="A41" s="6">
        <v>310</v>
      </c>
      <c r="B41" s="6">
        <f t="shared" si="10"/>
        <v>0.98561710170685712</v>
      </c>
      <c r="C41" s="6">
        <f t="shared" si="10"/>
        <v>0.68435586840253881</v>
      </c>
      <c r="D41" s="6">
        <f t="shared" si="10"/>
        <v>0.42789348950379891</v>
      </c>
      <c r="E41" s="6">
        <f t="shared" si="10"/>
        <v>0.36990095617355395</v>
      </c>
      <c r="F41" s="6">
        <f t="shared" si="10"/>
        <v>0.15206797694840263</v>
      </c>
      <c r="G41" s="6">
        <f t="shared" si="1"/>
        <v>1.4382898293142876E-2</v>
      </c>
      <c r="H41" s="6">
        <f t="shared" si="2"/>
        <v>0.30126123330431831</v>
      </c>
      <c r="I41" s="6">
        <f t="shared" si="3"/>
        <v>0.25646237889873991</v>
      </c>
      <c r="J41" s="6">
        <f t="shared" si="4"/>
        <v>5.7992533330244955E-2</v>
      </c>
      <c r="K41" s="6">
        <f t="shared" si="5"/>
        <v>0.21783297922515132</v>
      </c>
      <c r="L41" s="6">
        <f t="shared" si="6"/>
        <v>0.15206797694840263</v>
      </c>
      <c r="M41" s="12">
        <f t="shared" si="7"/>
        <v>0.59515855602417211</v>
      </c>
    </row>
    <row r="42" spans="1:13" ht="18.75">
      <c r="A42" s="6">
        <v>320</v>
      </c>
      <c r="B42" s="6">
        <f t="shared" si="10"/>
        <v>0.98604741342827296</v>
      </c>
      <c r="C42" s="6">
        <f t="shared" si="10"/>
        <v>0.68858730594947481</v>
      </c>
      <c r="D42" s="6">
        <f t="shared" si="10"/>
        <v>0.43258208669415554</v>
      </c>
      <c r="E42" s="6">
        <f t="shared" si="10"/>
        <v>0.37441591265098167</v>
      </c>
      <c r="F42" s="6">
        <f t="shared" si="10"/>
        <v>0.15489356544400973</v>
      </c>
      <c r="G42" s="6">
        <f t="shared" ref="G42:G70" si="11">1-B42</f>
        <v>1.3952586571727044E-2</v>
      </c>
      <c r="H42" s="6">
        <f t="shared" ref="H42:H70" si="12">B42-C42</f>
        <v>0.29746010747879814</v>
      </c>
      <c r="I42" s="6">
        <f t="shared" ref="I42:I70" si="13">C42-D42</f>
        <v>0.25600521925531927</v>
      </c>
      <c r="J42" s="6">
        <f t="shared" ref="J42:J70" si="14">D42-E42</f>
        <v>5.8166174043173868E-2</v>
      </c>
      <c r="K42" s="6">
        <f t="shared" ref="K42:K70" si="15">E42-F42</f>
        <v>0.21952234720697195</v>
      </c>
      <c r="L42" s="6">
        <f t="shared" ref="L42:L70" si="16">F42</f>
        <v>0.15489356544400973</v>
      </c>
      <c r="M42" s="12">
        <f t="shared" ref="M42:M73" si="17">G42*$B$4+H42*$C$4+I42*$D$4+J42*$E$4+K42*$F$4+L42*$G$4</f>
        <v>0.59845594496002408</v>
      </c>
    </row>
    <row r="43" spans="1:13" ht="18.75">
      <c r="A43" s="6">
        <v>330</v>
      </c>
      <c r="B43" s="6">
        <f t="shared" si="10"/>
        <v>0.98645384444532425</v>
      </c>
      <c r="C43" s="6">
        <f t="shared" si="10"/>
        <v>0.69266489286421051</v>
      </c>
      <c r="D43" s="6">
        <f t="shared" si="10"/>
        <v>0.4371354799818209</v>
      </c>
      <c r="E43" s="6">
        <f t="shared" si="10"/>
        <v>0.3788084278961219</v>
      </c>
      <c r="F43" s="6">
        <f t="shared" si="10"/>
        <v>0.15766508582210575</v>
      </c>
      <c r="G43" s="6">
        <f t="shared" si="11"/>
        <v>1.3546155554675754E-2</v>
      </c>
      <c r="H43" s="6">
        <f t="shared" si="12"/>
        <v>0.29378895158111373</v>
      </c>
      <c r="I43" s="6">
        <f t="shared" si="13"/>
        <v>0.25552941288238962</v>
      </c>
      <c r="J43" s="6">
        <f t="shared" si="14"/>
        <v>5.8327052085698994E-2</v>
      </c>
      <c r="K43" s="6">
        <f t="shared" si="15"/>
        <v>0.22114334207401615</v>
      </c>
      <c r="L43" s="6">
        <f t="shared" si="16"/>
        <v>0.15766508582210575</v>
      </c>
      <c r="M43" s="12">
        <f t="shared" si="17"/>
        <v>0.60165132708946778</v>
      </c>
    </row>
    <row r="44" spans="1:13" ht="18.75">
      <c r="A44" s="6">
        <v>340</v>
      </c>
      <c r="B44" s="6">
        <f t="shared" si="10"/>
        <v>0.98683833445582203</v>
      </c>
      <c r="C44" s="6">
        <f t="shared" si="10"/>
        <v>0.6965981187107585</v>
      </c>
      <c r="D44" s="6">
        <f t="shared" si="10"/>
        <v>0.44156090896738115</v>
      </c>
      <c r="E44" s="6">
        <f t="shared" si="10"/>
        <v>0.38308482168717894</v>
      </c>
      <c r="F44" s="6">
        <f t="shared" si="10"/>
        <v>0.16038480666282576</v>
      </c>
      <c r="G44" s="6">
        <f t="shared" si="11"/>
        <v>1.316166554417797E-2</v>
      </c>
      <c r="H44" s="6">
        <f t="shared" si="12"/>
        <v>0.29024021574506353</v>
      </c>
      <c r="I44" s="6">
        <f t="shared" si="13"/>
        <v>0.25503720974337735</v>
      </c>
      <c r="J44" s="6">
        <f t="shared" si="14"/>
        <v>5.8476087280202205E-2</v>
      </c>
      <c r="K44" s="6">
        <f t="shared" si="15"/>
        <v>0.22270001502435319</v>
      </c>
      <c r="L44" s="6">
        <f t="shared" si="16"/>
        <v>0.16038480666282576</v>
      </c>
      <c r="M44" s="12">
        <f t="shared" si="17"/>
        <v>0.60475054445284981</v>
      </c>
    </row>
    <row r="45" spans="1:13" ht="18.75">
      <c r="A45" s="6">
        <v>350</v>
      </c>
      <c r="B45" s="6">
        <f t="shared" si="10"/>
        <v>0.98720261719913649</v>
      </c>
      <c r="C45" s="6">
        <f t="shared" si="10"/>
        <v>0.70039564890884931</v>
      </c>
      <c r="D45" s="6">
        <f t="shared" si="10"/>
        <v>0.4458650443035243</v>
      </c>
      <c r="E45" s="6">
        <f t="shared" si="10"/>
        <v>0.38725092977141401</v>
      </c>
      <c r="F45" s="6">
        <f t="shared" si="10"/>
        <v>0.16305484645366153</v>
      </c>
      <c r="G45" s="6">
        <f t="shared" si="11"/>
        <v>1.279738280086351E-2</v>
      </c>
      <c r="H45" s="6">
        <f t="shared" si="12"/>
        <v>0.28680696829028718</v>
      </c>
      <c r="I45" s="6">
        <f t="shared" si="13"/>
        <v>0.25453060460532501</v>
      </c>
      <c r="J45" s="6">
        <f t="shared" si="14"/>
        <v>5.8614114532110295E-2</v>
      </c>
      <c r="K45" s="6">
        <f t="shared" si="15"/>
        <v>0.22419608331775248</v>
      </c>
      <c r="L45" s="6">
        <f t="shared" si="16"/>
        <v>0.16305484645366153</v>
      </c>
      <c r="M45" s="12">
        <f t="shared" si="17"/>
        <v>0.60775895171395578</v>
      </c>
    </row>
    <row r="46" spans="1:13" ht="18.75">
      <c r="A46" s="6">
        <v>360</v>
      </c>
      <c r="B46" s="6">
        <f t="shared" si="10"/>
        <v>0.98754824725473378</v>
      </c>
      <c r="C46" s="6">
        <f t="shared" si="10"/>
        <v>0.70406541638432352</v>
      </c>
      <c r="D46" s="6">
        <f t="shared" si="10"/>
        <v>0.45005404629307533</v>
      </c>
      <c r="E46" s="6">
        <f t="shared" si="10"/>
        <v>0.39131215274249553</v>
      </c>
      <c r="F46" s="6">
        <f t="shared" si="10"/>
        <v>0.16567718711482932</v>
      </c>
      <c r="G46" s="6">
        <f t="shared" si="11"/>
        <v>1.245175274526622E-2</v>
      </c>
      <c r="H46" s="6">
        <f t="shared" si="12"/>
        <v>0.28348283087041026</v>
      </c>
      <c r="I46" s="6">
        <f t="shared" si="13"/>
        <v>0.25401137009124819</v>
      </c>
      <c r="J46" s="6">
        <f t="shared" si="14"/>
        <v>5.8741893550579793E-2</v>
      </c>
      <c r="K46" s="6">
        <f t="shared" si="15"/>
        <v>0.22563496562766622</v>
      </c>
      <c r="L46" s="6">
        <f t="shared" si="16"/>
        <v>0.16567718711482932</v>
      </c>
      <c r="M46" s="12">
        <f t="shared" si="17"/>
        <v>0.61068146910589038</v>
      </c>
    </row>
    <row r="47" spans="1:13" ht="18.75">
      <c r="A47" s="6">
        <v>370</v>
      </c>
      <c r="B47" s="6">
        <f t="shared" si="10"/>
        <v>0.98787662274115784</v>
      </c>
      <c r="C47" s="6">
        <f t="shared" si="10"/>
        <v>0.70761470088596345</v>
      </c>
      <c r="D47" s="6">
        <f t="shared" si="10"/>
        <v>0.45413361607568892</v>
      </c>
      <c r="E47" s="6">
        <f t="shared" si="10"/>
        <v>0.39527349883400709</v>
      </c>
      <c r="F47" s="6">
        <f t="shared" si="10"/>
        <v>0.16825368599188892</v>
      </c>
      <c r="G47" s="6">
        <f t="shared" si="11"/>
        <v>1.2123377258842161E-2</v>
      </c>
      <c r="H47" s="6">
        <f t="shared" si="12"/>
        <v>0.28026192185519438</v>
      </c>
      <c r="I47" s="6">
        <f t="shared" si="13"/>
        <v>0.25348108481027454</v>
      </c>
      <c r="J47" s="6">
        <f t="shared" si="14"/>
        <v>5.8860117241681831E-2</v>
      </c>
      <c r="K47" s="6">
        <f t="shared" si="15"/>
        <v>0.22701981284211817</v>
      </c>
      <c r="L47" s="6">
        <f t="shared" si="16"/>
        <v>0.16825368599188892</v>
      </c>
      <c r="M47" s="12">
        <f t="shared" si="17"/>
        <v>0.61352262834999249</v>
      </c>
    </row>
    <row r="48" spans="1:13" ht="18.75">
      <c r="A48" s="6">
        <v>380</v>
      </c>
      <c r="B48" s="6">
        <f t="shared" si="10"/>
        <v>0.98818900463196468</v>
      </c>
      <c r="C48" s="6">
        <f t="shared" si="10"/>
        <v>0.71105019790395163</v>
      </c>
      <c r="D48" s="6">
        <f t="shared" si="10"/>
        <v>0.45810904050721946</v>
      </c>
      <c r="E48" s="6">
        <f t="shared" si="10"/>
        <v>0.39913962152330185</v>
      </c>
      <c r="F48" s="6">
        <f t="shared" si="10"/>
        <v>0.17078608652351046</v>
      </c>
      <c r="G48" s="6">
        <f t="shared" si="11"/>
        <v>1.1810995368035315E-2</v>
      </c>
      <c r="H48" s="6">
        <f t="shared" si="12"/>
        <v>0.27713880672801305</v>
      </c>
      <c r="I48" s="6">
        <f t="shared" si="13"/>
        <v>0.25294115739673217</v>
      </c>
      <c r="J48" s="6">
        <f t="shared" si="14"/>
        <v>5.896941898391761E-2</v>
      </c>
      <c r="K48" s="6">
        <f t="shared" si="15"/>
        <v>0.22835353499979139</v>
      </c>
      <c r="L48" s="6">
        <f t="shared" si="16"/>
        <v>0.17078608652351046</v>
      </c>
      <c r="M48" s="12">
        <f t="shared" si="17"/>
        <v>0.6162866126416302</v>
      </c>
    </row>
    <row r="49" spans="1:13" ht="18.75">
      <c r="A49" s="6">
        <v>390</v>
      </c>
      <c r="B49" s="6">
        <f t="shared" si="10"/>
        <v>0.98848653326499791</v>
      </c>
      <c r="C49" s="6">
        <f t="shared" si="10"/>
        <v>0.71437807878024917</v>
      </c>
      <c r="D49" s="6">
        <f t="shared" si="10"/>
        <v>0.4619852316476018</v>
      </c>
      <c r="E49" s="6">
        <f t="shared" si="10"/>
        <v>0.40291485268921928</v>
      </c>
      <c r="F49" s="6">
        <f t="shared" si="10"/>
        <v>0.17327602775963835</v>
      </c>
      <c r="G49" s="6">
        <f t="shared" si="11"/>
        <v>1.1513466735002087E-2</v>
      </c>
      <c r="H49" s="6">
        <f t="shared" si="12"/>
        <v>0.27410845448474874</v>
      </c>
      <c r="I49" s="6">
        <f t="shared" si="13"/>
        <v>0.25239284713264737</v>
      </c>
      <c r="J49" s="6">
        <f t="shared" si="14"/>
        <v>5.9070378958382519E-2</v>
      </c>
      <c r="K49" s="6">
        <f t="shared" si="15"/>
        <v>0.22963882492958093</v>
      </c>
      <c r="L49" s="6">
        <f t="shared" si="16"/>
        <v>0.17327602775963835</v>
      </c>
      <c r="M49" s="12">
        <f t="shared" si="17"/>
        <v>0.61897729160255899</v>
      </c>
    </row>
    <row r="50" spans="1:13" ht="18.75">
      <c r="A50" s="6">
        <v>400</v>
      </c>
      <c r="B50" s="6">
        <f t="shared" ref="B50:F59" si="18">IF($A50&lt;=0,0,_xlfn.NORM.S.DIST((LN($A50)-C$5)/$B$6,TRUE()))</f>
        <v>0.98877024251145362</v>
      </c>
      <c r="C50" s="6">
        <f t="shared" si="18"/>
        <v>0.71760404332478422</v>
      </c>
      <c r="D50" s="6">
        <f t="shared" si="18"/>
        <v>0.46576676162084157</v>
      </c>
      <c r="E50" s="6">
        <f t="shared" si="18"/>
        <v>0.40660323194501385</v>
      </c>
      <c r="F50" s="6">
        <f t="shared" si="18"/>
        <v>0.17572505287846144</v>
      </c>
      <c r="G50" s="6">
        <f t="shared" si="11"/>
        <v>1.1229757488546377E-2</v>
      </c>
      <c r="H50" s="6">
        <f t="shared" si="12"/>
        <v>0.2711661991866694</v>
      </c>
      <c r="I50" s="6">
        <f t="shared" si="13"/>
        <v>0.25183728170394265</v>
      </c>
      <c r="J50" s="6">
        <f t="shared" si="14"/>
        <v>5.916352967582772E-2</v>
      </c>
      <c r="K50" s="6">
        <f t="shared" si="15"/>
        <v>0.23087817906655242</v>
      </c>
      <c r="L50" s="6">
        <f t="shared" si="16"/>
        <v>0.17572505287846144</v>
      </c>
      <c r="M50" s="12">
        <f t="shared" si="17"/>
        <v>0.62159825194386809</v>
      </c>
    </row>
    <row r="51" spans="1:13" ht="18.75">
      <c r="A51" s="6">
        <v>410</v>
      </c>
      <c r="B51" s="6">
        <f t="shared" si="18"/>
        <v>0.98904107198434899</v>
      </c>
      <c r="C51" s="6">
        <f t="shared" si="18"/>
        <v>0.72073336602848337</v>
      </c>
      <c r="D51" s="6">
        <f t="shared" si="18"/>
        <v>0.46945789348683309</v>
      </c>
      <c r="E51" s="6">
        <f t="shared" si="18"/>
        <v>0.41020853266819107</v>
      </c>
      <c r="F51" s="6">
        <f t="shared" si="18"/>
        <v>0.17813461682839257</v>
      </c>
      <c r="G51" s="6">
        <f t="shared" si="11"/>
        <v>1.0958928015651015E-2</v>
      </c>
      <c r="H51" s="6">
        <f t="shared" si="12"/>
        <v>0.26830770595586562</v>
      </c>
      <c r="I51" s="6">
        <f t="shared" si="13"/>
        <v>0.25127547254165028</v>
      </c>
      <c r="J51" s="6">
        <f t="shared" si="14"/>
        <v>5.9249360818642016E-2</v>
      </c>
      <c r="K51" s="6">
        <f t="shared" si="15"/>
        <v>0.2320739158397985</v>
      </c>
      <c r="L51" s="6">
        <f t="shared" si="16"/>
        <v>0.17813461682839257</v>
      </c>
      <c r="M51" s="12">
        <f t="shared" si="17"/>
        <v>0.62415282445798426</v>
      </c>
    </row>
    <row r="52" spans="1:13" ht="18.75">
      <c r="A52" s="6">
        <v>420</v>
      </c>
      <c r="B52" s="6">
        <f t="shared" si="18"/>
        <v>0.98929987759699711</v>
      </c>
      <c r="C52" s="6">
        <f t="shared" si="18"/>
        <v>0.72377093678348381</v>
      </c>
      <c r="D52" s="6">
        <f t="shared" si="18"/>
        <v>0.47306260866339073</v>
      </c>
      <c r="E52" s="6">
        <f t="shared" si="18"/>
        <v>0.41373428516725774</v>
      </c>
      <c r="F52" s="6">
        <f t="shared" si="18"/>
        <v>0.18050609320282468</v>
      </c>
      <c r="G52" s="6">
        <f t="shared" si="11"/>
        <v>1.0700122403002887E-2</v>
      </c>
      <c r="H52" s="6">
        <f t="shared" si="12"/>
        <v>0.2655289408135133</v>
      </c>
      <c r="I52" s="6">
        <f t="shared" si="13"/>
        <v>0.25070832812009308</v>
      </c>
      <c r="J52" s="6">
        <f t="shared" si="14"/>
        <v>5.9328323496132984E-2</v>
      </c>
      <c r="K52" s="6">
        <f t="shared" si="15"/>
        <v>0.23322819196443306</v>
      </c>
      <c r="L52" s="6">
        <f t="shared" si="16"/>
        <v>0.18050609320282468</v>
      </c>
      <c r="M52" s="12">
        <f t="shared" si="17"/>
        <v>0.62664410785633906</v>
      </c>
    </row>
    <row r="53" spans="1:13" ht="18.75">
      <c r="A53" s="6">
        <v>430</v>
      </c>
      <c r="B53" s="6">
        <f t="shared" si="18"/>
        <v>0.98954744072691936</v>
      </c>
      <c r="C53" s="6">
        <f t="shared" si="18"/>
        <v>0.7267212968735639</v>
      </c>
      <c r="D53" s="6">
        <f t="shared" si="18"/>
        <v>0.47658463135355594</v>
      </c>
      <c r="E53" s="6">
        <f t="shared" si="18"/>
        <v>0.41718379735807115</v>
      </c>
      <c r="F53" s="6">
        <f t="shared" si="18"/>
        <v>0.18284078044003838</v>
      </c>
      <c r="G53" s="6">
        <f t="shared" si="11"/>
        <v>1.0452559273080642E-2</v>
      </c>
      <c r="H53" s="6">
        <f t="shared" si="12"/>
        <v>0.26282614385335545</v>
      </c>
      <c r="I53" s="6">
        <f t="shared" si="13"/>
        <v>0.25013666552000796</v>
      </c>
      <c r="J53" s="6">
        <f t="shared" si="14"/>
        <v>5.9400833995484792E-2</v>
      </c>
      <c r="K53" s="6">
        <f t="shared" si="15"/>
        <v>0.23434301691803278</v>
      </c>
      <c r="L53" s="6">
        <f t="shared" si="16"/>
        <v>0.18284078044003838</v>
      </c>
      <c r="M53" s="12">
        <f t="shared" si="17"/>
        <v>0.62907498988622434</v>
      </c>
    </row>
    <row r="54" spans="1:13" ht="18.75">
      <c r="A54" s="6">
        <v>440</v>
      </c>
      <c r="B54" s="6">
        <f t="shared" si="18"/>
        <v>0.98978447619626708</v>
      </c>
      <c r="C54" s="6">
        <f t="shared" si="18"/>
        <v>0.72958867087713186</v>
      </c>
      <c r="D54" s="6">
        <f t="shared" si="18"/>
        <v>0.48002745036438915</v>
      </c>
      <c r="E54" s="6">
        <f t="shared" si="18"/>
        <v>0.42056017326672485</v>
      </c>
      <c r="F54" s="6">
        <f t="shared" si="18"/>
        <v>0.18513990742772993</v>
      </c>
      <c r="G54" s="6">
        <f t="shared" si="11"/>
        <v>1.0215523803732918E-2</v>
      </c>
      <c r="H54" s="6">
        <f t="shared" si="12"/>
        <v>0.26019580531913522</v>
      </c>
      <c r="I54" s="6">
        <f t="shared" si="13"/>
        <v>0.24956122051274271</v>
      </c>
      <c r="J54" s="6">
        <f t="shared" si="14"/>
        <v>5.9467277097664306E-2</v>
      </c>
      <c r="K54" s="6">
        <f t="shared" si="15"/>
        <v>0.23542026583899492</v>
      </c>
      <c r="L54" s="6">
        <f t="shared" si="16"/>
        <v>0.18513990742772993</v>
      </c>
      <c r="M54" s="12">
        <f t="shared" si="17"/>
        <v>0.63144816609222876</v>
      </c>
    </row>
    <row r="55" spans="1:13" ht="18.75">
      <c r="A55" s="6">
        <v>450</v>
      </c>
      <c r="B55" s="6">
        <f t="shared" si="18"/>
        <v>0.9900116392439744</v>
      </c>
      <c r="C55" s="6">
        <f t="shared" si="18"/>
        <v>0.7323769950257456</v>
      </c>
      <c r="D55" s="6">
        <f t="shared" si="18"/>
        <v>0.48339433864631237</v>
      </c>
      <c r="E55" s="6">
        <f t="shared" si="18"/>
        <v>0.42386632962954884</v>
      </c>
      <c r="F55" s="6">
        <f t="shared" si="18"/>
        <v>0.18740463858077316</v>
      </c>
      <c r="G55" s="6">
        <f t="shared" si="11"/>
        <v>9.9883607560256049E-3</v>
      </c>
      <c r="H55" s="6">
        <f t="shared" si="12"/>
        <v>0.25763464421822879</v>
      </c>
      <c r="I55" s="6">
        <f t="shared" si="13"/>
        <v>0.24898265637943323</v>
      </c>
      <c r="J55" s="6">
        <f t="shared" si="14"/>
        <v>5.9528009016763528E-2</v>
      </c>
      <c r="K55" s="6">
        <f t="shared" si="15"/>
        <v>0.23646169104877568</v>
      </c>
      <c r="L55" s="6">
        <f t="shared" si="16"/>
        <v>0.18740463858077316</v>
      </c>
      <c r="M55" s="12">
        <f t="shared" si="17"/>
        <v>0.63376615653151769</v>
      </c>
    </row>
    <row r="56" spans="1:13" ht="18.75">
      <c r="A56" s="6">
        <v>460</v>
      </c>
      <c r="B56" s="6">
        <f t="shared" si="18"/>
        <v>0.99022953163573624</v>
      </c>
      <c r="C56" s="6">
        <f t="shared" si="18"/>
        <v>0.73508994247893633</v>
      </c>
      <c r="D56" s="6">
        <f t="shared" si="18"/>
        <v>0.48668837083441369</v>
      </c>
      <c r="E56" s="6">
        <f t="shared" si="18"/>
        <v>0.42710501082206331</v>
      </c>
      <c r="F56" s="6">
        <f t="shared" si="18"/>
        <v>0.18963607845164368</v>
      </c>
      <c r="G56" s="6">
        <f t="shared" si="11"/>
        <v>9.7704683642637624E-3</v>
      </c>
      <c r="H56" s="6">
        <f t="shared" si="12"/>
        <v>0.25513958915679991</v>
      </c>
      <c r="I56" s="6">
        <f t="shared" si="13"/>
        <v>0.24840157164452265</v>
      </c>
      <c r="J56" s="6">
        <f t="shared" si="14"/>
        <v>5.9583360012350373E-2</v>
      </c>
      <c r="K56" s="6">
        <f t="shared" si="15"/>
        <v>0.23746893237041963</v>
      </c>
      <c r="L56" s="6">
        <f t="shared" si="16"/>
        <v>0.18963607845164368</v>
      </c>
      <c r="M56" s="12">
        <f t="shared" si="17"/>
        <v>0.63603132070574542</v>
      </c>
    </row>
    <row r="57" spans="1:13" ht="18.75">
      <c r="A57" s="6">
        <v>470</v>
      </c>
      <c r="B57" s="6">
        <f t="shared" si="18"/>
        <v>0.9904387070341315</v>
      </c>
      <c r="C57" s="6">
        <f t="shared" si="18"/>
        <v>0.73773094590782751</v>
      </c>
      <c r="D57" s="6">
        <f t="shared" si="18"/>
        <v>0.48991243903323634</v>
      </c>
      <c r="E57" s="6">
        <f t="shared" si="18"/>
        <v>0.43027880231623211</v>
      </c>
      <c r="F57" s="6">
        <f t="shared" si="18"/>
        <v>0.19183527592515265</v>
      </c>
      <c r="G57" s="6">
        <f t="shared" si="11"/>
        <v>9.5612929658684953E-3</v>
      </c>
      <c r="H57" s="6">
        <f t="shared" si="12"/>
        <v>0.252707761126304</v>
      </c>
      <c r="I57" s="6">
        <f t="shared" si="13"/>
        <v>0.24781850687459117</v>
      </c>
      <c r="J57" s="6">
        <f t="shared" si="14"/>
        <v>5.9633636717004224E-2</v>
      </c>
      <c r="K57" s="6">
        <f t="shared" si="15"/>
        <v>0.23844352639107946</v>
      </c>
      <c r="L57" s="6">
        <f t="shared" si="16"/>
        <v>0.19183527592515265</v>
      </c>
      <c r="M57" s="12">
        <f t="shared" si="17"/>
        <v>0.63824587093374885</v>
      </c>
    </row>
    <row r="58" spans="1:13" ht="18.75">
      <c r="A58" s="6">
        <v>480</v>
      </c>
      <c r="B58" s="6">
        <f t="shared" si="18"/>
        <v>0.99063967573171086</v>
      </c>
      <c r="C58" s="6">
        <f t="shared" si="18"/>
        <v>0.74030321772306606</v>
      </c>
      <c r="D58" s="6">
        <f t="shared" si="18"/>
        <v>0.49306926705303605</v>
      </c>
      <c r="E58" s="6">
        <f t="shared" si="18"/>
        <v>0.43339014283799848</v>
      </c>
      <c r="F58" s="6">
        <f t="shared" si="18"/>
        <v>0.19400322804250342</v>
      </c>
      <c r="G58" s="6">
        <f t="shared" si="11"/>
        <v>9.3603242682891441E-3</v>
      </c>
      <c r="H58" s="6">
        <f t="shared" si="12"/>
        <v>0.25033645800864479</v>
      </c>
      <c r="I58" s="6">
        <f t="shared" si="13"/>
        <v>0.24723395067003001</v>
      </c>
      <c r="J58" s="6">
        <f t="shared" si="14"/>
        <v>5.9679124215037571E-2</v>
      </c>
      <c r="K58" s="6">
        <f t="shared" si="15"/>
        <v>0.23938691479549506</v>
      </c>
      <c r="L58" s="6">
        <f t="shared" si="16"/>
        <v>0.19400322804250342</v>
      </c>
      <c r="M58" s="12">
        <f t="shared" si="17"/>
        <v>0.64041188435690333</v>
      </c>
    </row>
    <row r="59" spans="1:13" ht="18.75">
      <c r="A59" s="6">
        <v>490</v>
      </c>
      <c r="B59" s="6">
        <f t="shared" si="18"/>
        <v>0.99083290883380859</v>
      </c>
      <c r="C59" s="6">
        <f t="shared" si="18"/>
        <v>0.74280976823486311</v>
      </c>
      <c r="D59" s="6">
        <f t="shared" si="18"/>
        <v>0.49616142327719392</v>
      </c>
      <c r="E59" s="6">
        <f t="shared" si="18"/>
        <v>0.43644133537394625</v>
      </c>
      <c r="F59" s="6">
        <f t="shared" si="18"/>
        <v>0.19614088349402076</v>
      </c>
      <c r="G59" s="6">
        <f t="shared" si="11"/>
        <v>9.1670911661914101E-3</v>
      </c>
      <c r="H59" s="6">
        <f t="shared" si="12"/>
        <v>0.24802314059894548</v>
      </c>
      <c r="I59" s="6">
        <f t="shared" si="13"/>
        <v>0.24664834495766919</v>
      </c>
      <c r="J59" s="6">
        <f t="shared" si="14"/>
        <v>5.9720087903247676E-2</v>
      </c>
      <c r="K59" s="6">
        <f t="shared" si="15"/>
        <v>0.24030045187992549</v>
      </c>
      <c r="L59" s="6">
        <f t="shared" si="16"/>
        <v>0.19614088349402076</v>
      </c>
      <c r="M59" s="12">
        <f t="shared" si="17"/>
        <v>0.64253131374196037</v>
      </c>
    </row>
    <row r="60" spans="1:13" ht="18.75">
      <c r="A60" s="6">
        <v>500</v>
      </c>
      <c r="B60" s="6">
        <f t="shared" ref="B60:F69" si="19">IF($A60&lt;=0,0,_xlfn.NORM.S.DIST((LN($A60)-C$5)/$B$6,TRUE()))</f>
        <v>0.99101884196455237</v>
      </c>
      <c r="C60" s="6">
        <f t="shared" si="19"/>
        <v>0.74525342199282085</v>
      </c>
      <c r="D60" s="6">
        <f t="shared" si="19"/>
        <v>0.49919133231650809</v>
      </c>
      <c r="E60" s="6">
        <f t="shared" si="19"/>
        <v>0.43943455715630692</v>
      </c>
      <c r="F60" s="6">
        <f t="shared" si="19"/>
        <v>0.19824914581504843</v>
      </c>
      <c r="G60" s="6">
        <f t="shared" si="11"/>
        <v>8.9811580354476339E-3</v>
      </c>
      <c r="H60" s="6">
        <f t="shared" si="12"/>
        <v>0.24576541997173151</v>
      </c>
      <c r="I60" s="6">
        <f t="shared" si="13"/>
        <v>0.24606208967631277</v>
      </c>
      <c r="J60" s="6">
        <f t="shared" si="14"/>
        <v>5.975677516020117E-2</v>
      </c>
      <c r="K60" s="6">
        <f t="shared" si="15"/>
        <v>0.24118541134125848</v>
      </c>
      <c r="L60" s="6">
        <f t="shared" si="16"/>
        <v>0.19824914581504843</v>
      </c>
      <c r="M60" s="12">
        <f t="shared" si="17"/>
        <v>0.64460599722342127</v>
      </c>
    </row>
    <row r="61" spans="1:13" ht="18.75">
      <c r="A61" s="6">
        <v>510</v>
      </c>
      <c r="B61" s="6">
        <f t="shared" si="19"/>
        <v>0.99119787855851016</v>
      </c>
      <c r="C61" s="6">
        <f t="shared" si="19"/>
        <v>0.74763683251935142</v>
      </c>
      <c r="D61" s="6">
        <f t="shared" si="19"/>
        <v>0.50216128558571582</v>
      </c>
      <c r="E61" s="6">
        <f t="shared" si="19"/>
        <v>0.44237186873881729</v>
      </c>
      <c r="F61" s="6">
        <f t="shared" si="19"/>
        <v>0.20032887631533366</v>
      </c>
      <c r="G61" s="6">
        <f t="shared" si="11"/>
        <v>8.8021214414898408E-3</v>
      </c>
      <c r="H61" s="6">
        <f t="shared" si="12"/>
        <v>0.24356104603915874</v>
      </c>
      <c r="I61" s="6">
        <f t="shared" si="13"/>
        <v>0.2454755469336356</v>
      </c>
      <c r="J61" s="6">
        <f t="shared" si="14"/>
        <v>5.9789416846898535E-2</v>
      </c>
      <c r="K61" s="6">
        <f t="shared" si="15"/>
        <v>0.24204299242348362</v>
      </c>
      <c r="L61" s="6">
        <f t="shared" si="16"/>
        <v>0.20032887631533366</v>
      </c>
      <c r="M61" s="12">
        <f t="shared" si="17"/>
        <v>0.64663766710825032</v>
      </c>
    </row>
    <row r="62" spans="1:13" ht="18.75">
      <c r="A62" s="6">
        <v>520</v>
      </c>
      <c r="B62" s="6">
        <f t="shared" si="19"/>
        <v>0.99137039279121353</v>
      </c>
      <c r="C62" s="6">
        <f t="shared" si="19"/>
        <v>0.74996249562182238</v>
      </c>
      <c r="D62" s="6">
        <f t="shared" si="19"/>
        <v>0.50507345092023304</v>
      </c>
      <c r="E62" s="6">
        <f t="shared" si="19"/>
        <v>0.44525522226166114</v>
      </c>
      <c r="F62" s="6">
        <f t="shared" si="19"/>
        <v>0.20238089676861581</v>
      </c>
      <c r="G62" s="6">
        <f t="shared" si="11"/>
        <v>8.6296072087864717E-3</v>
      </c>
      <c r="H62" s="6">
        <f t="shared" si="12"/>
        <v>0.24140789716939115</v>
      </c>
      <c r="I62" s="6">
        <f t="shared" si="13"/>
        <v>0.24488904470158934</v>
      </c>
      <c r="J62" s="6">
        <f t="shared" si="14"/>
        <v>5.9818228658571893E-2</v>
      </c>
      <c r="K62" s="6">
        <f t="shared" si="15"/>
        <v>0.24287432549304533</v>
      </c>
      <c r="L62" s="6">
        <f t="shared" si="16"/>
        <v>0.20238089676861581</v>
      </c>
      <c r="M62" s="12">
        <f t="shared" si="17"/>
        <v>0.64862795784942806</v>
      </c>
    </row>
    <row r="63" spans="1:13" ht="18.75">
      <c r="A63" s="6">
        <v>530</v>
      </c>
      <c r="B63" s="6">
        <f t="shared" si="19"/>
        <v>0.99153673219409799</v>
      </c>
      <c r="C63" s="6">
        <f t="shared" si="19"/>
        <v>0.75223276144418838</v>
      </c>
      <c r="D63" s="6">
        <f t="shared" si="19"/>
        <v>0.50792988133623607</v>
      </c>
      <c r="E63" s="6">
        <f t="shared" si="19"/>
        <v>0.4480864689914939</v>
      </c>
      <c r="F63" s="6">
        <f t="shared" si="19"/>
        <v>0.20440599188602149</v>
      </c>
      <c r="G63" s="6">
        <f t="shared" si="11"/>
        <v>8.4632678059020083E-3</v>
      </c>
      <c r="H63" s="6">
        <f t="shared" si="12"/>
        <v>0.23930397074990961</v>
      </c>
      <c r="I63" s="6">
        <f t="shared" si="13"/>
        <v>0.24430288010795231</v>
      </c>
      <c r="J63" s="6">
        <f t="shared" si="14"/>
        <v>5.9843412344742164E-2</v>
      </c>
      <c r="K63" s="6">
        <f t="shared" si="15"/>
        <v>0.24368047710547242</v>
      </c>
      <c r="L63" s="6">
        <f t="shared" si="16"/>
        <v>0.20440599188602149</v>
      </c>
      <c r="M63" s="12">
        <f t="shared" si="17"/>
        <v>0.65057841328095689</v>
      </c>
    </row>
    <row r="64" spans="1:13" ht="18.75">
      <c r="A64" s="6">
        <v>540</v>
      </c>
      <c r="B64" s="6">
        <f t="shared" si="19"/>
        <v>0.99169721999293592</v>
      </c>
      <c r="C64" s="6">
        <f t="shared" si="19"/>
        <v>0.75444984539809545</v>
      </c>
      <c r="D64" s="6">
        <f t="shared" si="19"/>
        <v>0.51073252302446193</v>
      </c>
      <c r="E64" s="6">
        <f t="shared" si="19"/>
        <v>0.45086736621203699</v>
      </c>
      <c r="F64" s="6">
        <f t="shared" si="19"/>
        <v>0.20640491159416507</v>
      </c>
      <c r="G64" s="6">
        <f t="shared" si="11"/>
        <v>8.3027800070640811E-3</v>
      </c>
      <c r="H64" s="6">
        <f t="shared" si="12"/>
        <v>0.23724737459484047</v>
      </c>
      <c r="I64" s="6">
        <f t="shared" si="13"/>
        <v>0.24371732237363353</v>
      </c>
      <c r="J64" s="6">
        <f t="shared" si="14"/>
        <v>5.9865156812424936E-2</v>
      </c>
      <c r="K64" s="6">
        <f t="shared" si="15"/>
        <v>0.24446245461787192</v>
      </c>
      <c r="L64" s="6">
        <f t="shared" si="16"/>
        <v>0.20640491159416507</v>
      </c>
      <c r="M64" s="12">
        <f t="shared" si="17"/>
        <v>0.65249049319509544</v>
      </c>
    </row>
    <row r="65" spans="1:13" ht="18.75">
      <c r="A65" s="6">
        <v>550</v>
      </c>
      <c r="B65" s="6">
        <f t="shared" si="19"/>
        <v>0.99185215720338926</v>
      </c>
      <c r="C65" s="6">
        <f t="shared" si="19"/>
        <v>0.75661583809567778</v>
      </c>
      <c r="D65" s="6">
        <f t="shared" si="19"/>
        <v>0.51348322265712798</v>
      </c>
      <c r="E65" s="6">
        <f t="shared" si="19"/>
        <v>0.45359958353166419</v>
      </c>
      <c r="F65" s="6">
        <f t="shared" si="19"/>
        <v>0.20837837313650054</v>
      </c>
      <c r="G65" s="6">
        <f t="shared" si="11"/>
        <v>8.1478427966107381E-3</v>
      </c>
      <c r="H65" s="6">
        <f t="shared" si="12"/>
        <v>0.23523631910771148</v>
      </c>
      <c r="I65" s="6">
        <f t="shared" si="13"/>
        <v>0.2431326154385498</v>
      </c>
      <c r="J65" s="6">
        <f t="shared" si="14"/>
        <v>5.9883639125463795E-2</v>
      </c>
      <c r="K65" s="6">
        <f t="shared" si="15"/>
        <v>0.24522121039516365</v>
      </c>
      <c r="L65" s="6">
        <f t="shared" si="16"/>
        <v>0.20837837313650054</v>
      </c>
      <c r="M65" s="12">
        <f t="shared" si="17"/>
        <v>0.65436557933244843</v>
      </c>
    </row>
    <row r="66" spans="1:13" ht="18.75">
      <c r="A66" s="6">
        <v>560</v>
      </c>
      <c r="B66" s="6">
        <f t="shared" si="19"/>
        <v>0.99200182451270169</v>
      </c>
      <c r="C66" s="6">
        <f t="shared" si="19"/>
        <v>0.75873271439102441</v>
      </c>
      <c r="D66" s="6">
        <f t="shared" si="19"/>
        <v>0.51618373407790363</v>
      </c>
      <c r="E66" s="6">
        <f t="shared" si="19"/>
        <v>0.45628470866656851</v>
      </c>
      <c r="F66" s="6">
        <f t="shared" si="19"/>
        <v>0.21032706301442602</v>
      </c>
      <c r="G66" s="6">
        <f t="shared" si="11"/>
        <v>7.9981754872983091E-3</v>
      </c>
      <c r="H66" s="6">
        <f t="shared" si="12"/>
        <v>0.23326911012167728</v>
      </c>
      <c r="I66" s="6">
        <f t="shared" si="13"/>
        <v>0.24254898031312078</v>
      </c>
      <c r="J66" s="6">
        <f t="shared" si="14"/>
        <v>5.9899025411335127E-2</v>
      </c>
      <c r="K66" s="6">
        <f t="shared" si="15"/>
        <v>0.24595764565214248</v>
      </c>
      <c r="L66" s="6">
        <f t="shared" si="16"/>
        <v>0.21032706301442602</v>
      </c>
      <c r="M66" s="12">
        <f t="shared" si="17"/>
        <v>0.65620498084683532</v>
      </c>
    </row>
    <row r="67" spans="1:13" ht="18.75">
      <c r="A67" s="6">
        <v>570</v>
      </c>
      <c r="B67" s="6">
        <f t="shared" si="19"/>
        <v>0.99214648397264416</v>
      </c>
      <c r="C67" s="6">
        <f t="shared" si="19"/>
        <v>0.76080234162419136</v>
      </c>
      <c r="D67" s="6">
        <f t="shared" si="19"/>
        <v>0.51883572443665815</v>
      </c>
      <c r="E67" s="6">
        <f t="shared" si="19"/>
        <v>0.45892425275130277</v>
      </c>
      <c r="F67" s="6">
        <f t="shared" si="19"/>
        <v>0.21225163878283954</v>
      </c>
      <c r="G67" s="6">
        <f t="shared" si="11"/>
        <v>7.8535160273558446E-3</v>
      </c>
      <c r="H67" s="6">
        <f t="shared" si="12"/>
        <v>0.2313441423484528</v>
      </c>
      <c r="I67" s="6">
        <f t="shared" si="13"/>
        <v>0.24196661718753321</v>
      </c>
      <c r="J67" s="6">
        <f t="shared" si="14"/>
        <v>5.9911471685355377E-2</v>
      </c>
      <c r="K67" s="6">
        <f t="shared" si="15"/>
        <v>0.24667261396846324</v>
      </c>
      <c r="L67" s="6">
        <f t="shared" si="16"/>
        <v>0.21225163878283954</v>
      </c>
      <c r="M67" s="12">
        <f t="shared" si="17"/>
        <v>0.65800993929935281</v>
      </c>
    </row>
    <row r="68" spans="1:13" ht="18.75">
      <c r="A68" s="6">
        <v>580</v>
      </c>
      <c r="B68" s="6">
        <f t="shared" si="19"/>
        <v>0.992286380525504</v>
      </c>
      <c r="C68" s="6">
        <f t="shared" si="19"/>
        <v>0.76282648715032164</v>
      </c>
      <c r="D68" s="6">
        <f t="shared" si="19"/>
        <v>0.52144077982361003</v>
      </c>
      <c r="E68" s="6">
        <f t="shared" si="19"/>
        <v>0.46151965522258936</v>
      </c>
      <c r="F68" s="6">
        <f t="shared" si="19"/>
        <v>0.21415273071328367</v>
      </c>
      <c r="G68" s="6">
        <f t="shared" si="11"/>
        <v>7.7136194744960029E-3</v>
      </c>
      <c r="H68" s="6">
        <f t="shared" si="12"/>
        <v>0.22945989337518236</v>
      </c>
      <c r="I68" s="6">
        <f t="shared" si="13"/>
        <v>0.24138570732671161</v>
      </c>
      <c r="J68" s="6">
        <f t="shared" si="14"/>
        <v>5.992112460102067E-2</v>
      </c>
      <c r="K68" s="6">
        <f t="shared" si="15"/>
        <v>0.2473669245093057</v>
      </c>
      <c r="L68" s="6">
        <f t="shared" si="16"/>
        <v>0.21415273071328367</v>
      </c>
      <c r="M68" s="12">
        <f t="shared" si="17"/>
        <v>0.65978163322957561</v>
      </c>
    </row>
    <row r="69" spans="1:13" ht="18.75">
      <c r="A69" s="6">
        <v>590</v>
      </c>
      <c r="B69" s="6">
        <f t="shared" si="19"/>
        <v>0.9924217433820719</v>
      </c>
      <c r="C69" s="6">
        <f t="shared" si="19"/>
        <v>0.76480682522666144</v>
      </c>
      <c r="D69" s="6">
        <f t="shared" si="19"/>
        <v>0.52400041045129919</v>
      </c>
      <c r="E69" s="6">
        <f t="shared" si="19"/>
        <v>0.4640722883171482</v>
      </c>
      <c r="F69" s="6">
        <f t="shared" si="19"/>
        <v>0.21603094333643086</v>
      </c>
      <c r="G69" s="6">
        <f t="shared" si="11"/>
        <v>7.578256617928103E-3</v>
      </c>
      <c r="H69" s="6">
        <f t="shared" si="12"/>
        <v>0.22761491815541046</v>
      </c>
      <c r="I69" s="6">
        <f t="shared" si="13"/>
        <v>0.24080641477536224</v>
      </c>
      <c r="J69" s="6">
        <f t="shared" si="14"/>
        <v>5.9928122134150996E-2</v>
      </c>
      <c r="K69" s="6">
        <f t="shared" si="15"/>
        <v>0.24804134498071734</v>
      </c>
      <c r="L69" s="6">
        <f t="shared" si="16"/>
        <v>0.21603094333643086</v>
      </c>
      <c r="M69" s="12">
        <f t="shared" si="17"/>
        <v>0.66152118234622348</v>
      </c>
    </row>
    <row r="70" spans="1:13" ht="18.75">
      <c r="A70" s="6">
        <v>600</v>
      </c>
      <c r="B70" s="6">
        <f t="shared" ref="B70:F79" si="20">IF($A70&lt;=0,0,_xlfn.NORM.S.DIST((LN($A70)-C$5)/$B$6,TRUE()))</f>
        <v>0.99255278726815444</v>
      </c>
      <c r="C70" s="6">
        <f t="shared" si="20"/>
        <v>0.76674494332177801</v>
      </c>
      <c r="D70" s="6">
        <f t="shared" si="20"/>
        <v>0.52651605542741331</v>
      </c>
      <c r="E70" s="6">
        <f t="shared" si="20"/>
        <v>0.46658346121979999</v>
      </c>
      <c r="F70" s="6">
        <f t="shared" si="20"/>
        <v>0.21788685687444509</v>
      </c>
      <c r="G70" s="6">
        <f t="shared" si="11"/>
        <v>7.447212731845565E-3</v>
      </c>
      <c r="H70" s="6">
        <f t="shared" si="12"/>
        <v>0.22580784394637643</v>
      </c>
      <c r="I70" s="6">
        <f t="shared" si="13"/>
        <v>0.2402288878943647</v>
      </c>
      <c r="J70" s="6">
        <f t="shared" si="14"/>
        <v>5.9932594207613321E-2</v>
      </c>
      <c r="K70" s="6">
        <f t="shared" si="15"/>
        <v>0.2486966043453549</v>
      </c>
      <c r="L70" s="6">
        <f t="shared" si="16"/>
        <v>0.21788685687444509</v>
      </c>
      <c r="M70" s="12">
        <f t="shared" si="17"/>
        <v>0.66322965137475098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7109375" defaultRowHeight="15"/>
  <cols>
    <col min="1" max="1" width="12" customWidth="1"/>
    <col min="2" max="8" width="17" customWidth="1"/>
  </cols>
  <sheetData>
    <row r="1" spans="1:7">
      <c r="A1" s="1" t="s">
        <v>54</v>
      </c>
    </row>
    <row r="2" spans="1:7" ht="18.75">
      <c r="A2" s="2" t="s">
        <v>55</v>
      </c>
    </row>
    <row r="4" spans="1:7" ht="33">
      <c r="A4" s="3" t="s">
        <v>56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18.75">
      <c r="A5" s="6">
        <v>0</v>
      </c>
      <c r="B5" s="12">
        <f>'1_製造業'!I10</f>
        <v>0</v>
      </c>
      <c r="C5" s="12">
        <f>'2_生活関連型産業'!I10</f>
        <v>0</v>
      </c>
      <c r="D5" s="12">
        <f>'3_基礎素材型産業'!I10</f>
        <v>0</v>
      </c>
      <c r="E5" s="12">
        <f>'4_非製造業'!M10</f>
        <v>0</v>
      </c>
      <c r="F5" s="12">
        <f>'5_卸売・小売業'!M10</f>
        <v>0</v>
      </c>
      <c r="G5" s="12">
        <f>'6_サービス業'!M10</f>
        <v>0</v>
      </c>
    </row>
    <row r="6" spans="1:7" ht="18.75">
      <c r="A6" s="6">
        <v>10</v>
      </c>
      <c r="B6" s="12">
        <f>'1_製造業'!I11</f>
        <v>4.2142906050541919E-2</v>
      </c>
      <c r="C6" s="12">
        <f>'2_生活関連型産業'!I11</f>
        <v>3.2249364892375121E-2</v>
      </c>
      <c r="D6" s="12">
        <f>'3_基礎素材型産業'!I11</f>
        <v>7.7600395961054947E-2</v>
      </c>
      <c r="E6" s="12">
        <f>'4_非製造業'!M11</f>
        <v>0.13518177402008735</v>
      </c>
      <c r="F6" s="12">
        <f>'5_卸売・小売業'!M11</f>
        <v>0.18410107530603151</v>
      </c>
      <c r="G6" s="12">
        <f>'6_サービス業'!M11</f>
        <v>0.28233274684530091</v>
      </c>
    </row>
    <row r="7" spans="1:7" ht="18.75">
      <c r="A7" s="6">
        <v>20</v>
      </c>
      <c r="B7" s="12">
        <f>'1_製造業'!I12</f>
        <v>0.10917913540246343</v>
      </c>
      <c r="C7" s="12">
        <f>'2_生活関連型産業'!I12</f>
        <v>8.5685571556374518E-2</v>
      </c>
      <c r="D7" s="12">
        <f>'3_基礎素材型産業'!I12</f>
        <v>0.15986179991146449</v>
      </c>
      <c r="E7" s="12">
        <f>'4_非製造業'!M12</f>
        <v>0.20428926422483717</v>
      </c>
      <c r="F7" s="12">
        <f>'5_卸売・小売業'!M12</f>
        <v>0.27458911340244035</v>
      </c>
      <c r="G7" s="12">
        <f>'6_サービス業'!M12</f>
        <v>0.33494393842274833</v>
      </c>
    </row>
    <row r="8" spans="1:7" ht="18.75">
      <c r="A8" s="6">
        <v>30</v>
      </c>
      <c r="B8" s="12">
        <f>'1_製造業'!I13</f>
        <v>0.15967849253118849</v>
      </c>
      <c r="C8" s="12">
        <f>'2_生活関連型産業'!I13</f>
        <v>0.13263755220189272</v>
      </c>
      <c r="D8" s="12">
        <f>'3_基礎素材型産業'!I13</f>
        <v>0.20743854351678531</v>
      </c>
      <c r="E8" s="12">
        <f>'4_非製造業'!M13</f>
        <v>0.24909950972967082</v>
      </c>
      <c r="F8" s="12">
        <f>'5_卸売・小売業'!M13</f>
        <v>0.33634693709267471</v>
      </c>
      <c r="G8" s="12">
        <f>'6_サービス業'!M13</f>
        <v>0.36846009231261523</v>
      </c>
    </row>
    <row r="9" spans="1:7" ht="18.75">
      <c r="A9" s="6">
        <v>40</v>
      </c>
      <c r="B9" s="12">
        <f>'1_製造業'!I14</f>
        <v>0.19744629826913299</v>
      </c>
      <c r="C9" s="12">
        <f>'2_生活関連型産業'!I14</f>
        <v>0.17217749526297671</v>
      </c>
      <c r="D9" s="12">
        <f>'3_基礎素材型産業'!I14</f>
        <v>0.23998752211749996</v>
      </c>
      <c r="E9" s="12">
        <f>'4_非製造業'!M14</f>
        <v>0.28364530174454555</v>
      </c>
      <c r="F9" s="12">
        <f>'5_卸売・小売業'!M14</f>
        <v>0.38384142172415253</v>
      </c>
      <c r="G9" s="12">
        <f>'6_サービス業'!M14</f>
        <v>0.393488314327958</v>
      </c>
    </row>
    <row r="10" spans="1:7" ht="18.75">
      <c r="A10" s="6">
        <v>50</v>
      </c>
      <c r="B10" s="12">
        <f>'1_製造業'!I15</f>
        <v>0.22764058467584655</v>
      </c>
      <c r="C10" s="12">
        <f>'2_生活関連型産業'!I15</f>
        <v>0.20595302311047581</v>
      </c>
      <c r="D10" s="12">
        <f>'3_基礎素材型産業'!I15</f>
        <v>0.26687870711968409</v>
      </c>
      <c r="E10" s="12">
        <f>'4_非製造業'!M15</f>
        <v>0.31253791883840237</v>
      </c>
      <c r="F10" s="12">
        <f>'5_卸売・小売業'!M15</f>
        <v>0.42255887299910816</v>
      </c>
      <c r="G10" s="12">
        <f>'6_サービス業'!M15</f>
        <v>0.41359892174204793</v>
      </c>
    </row>
    <row r="11" spans="1:7" ht="18.75">
      <c r="A11" s="6">
        <v>60</v>
      </c>
      <c r="B11" s="12">
        <f>'1_製造業'!I16</f>
        <v>0.25338449978022698</v>
      </c>
      <c r="C11" s="12">
        <f>'2_生活関連型産業'!I16</f>
        <v>0.23541138807728132</v>
      </c>
      <c r="D11" s="12">
        <f>'3_基礎素材型産業'!I16</f>
        <v>0.29180859057452618</v>
      </c>
      <c r="E11" s="12">
        <f>'4_非製造業'!M16</f>
        <v>0.33776182523561377</v>
      </c>
      <c r="F11" s="12">
        <f>'5_卸売・小売業'!M16</f>
        <v>0.45524067960916714</v>
      </c>
      <c r="G11" s="12">
        <f>'6_サービス業'!M16</f>
        <v>0.43046483323974477</v>
      </c>
    </row>
    <row r="12" spans="1:7" ht="18.75">
      <c r="A12" s="6">
        <v>70</v>
      </c>
      <c r="B12" s="12">
        <f>'1_製造業'!I17</f>
        <v>0.27641547192806293</v>
      </c>
      <c r="C12" s="12">
        <f>'2_生活関連型産業'!I17</f>
        <v>0.26159430769872549</v>
      </c>
      <c r="D12" s="12">
        <f>'3_基礎素材型産業'!I17</f>
        <v>0.31613484179204832</v>
      </c>
      <c r="E12" s="12">
        <f>'4_非製造業'!M17</f>
        <v>0.36033947023277546</v>
      </c>
      <c r="F12" s="12">
        <f>'5_卸売・小売業'!M17</f>
        <v>0.4834802862480011</v>
      </c>
      <c r="G12" s="12">
        <f>'6_サービス業'!M17</f>
        <v>0.44501478705242653</v>
      </c>
    </row>
    <row r="13" spans="1:7" ht="18.75">
      <c r="A13" s="6">
        <v>80</v>
      </c>
      <c r="B13" s="12">
        <f>'1_製造業'!I18</f>
        <v>0.29769492108177431</v>
      </c>
      <c r="C13" s="12">
        <f>'2_生活関連型産業'!I18</f>
        <v>0.28523231519166747</v>
      </c>
      <c r="D13" s="12">
        <f>'3_基礎素材型産業'!I18</f>
        <v>0.34027168788177797</v>
      </c>
      <c r="E13" s="12">
        <f>'4_非製造業'!M18</f>
        <v>0.38087069236146032</v>
      </c>
      <c r="F13" s="12">
        <f>'5_卸売・小売業'!M18</f>
        <v>0.50829716534805147</v>
      </c>
      <c r="G13" s="12">
        <f>'6_サービス業'!M18</f>
        <v>0.4578217567722323</v>
      </c>
    </row>
    <row r="14" spans="1:7" ht="18.75">
      <c r="A14" s="6">
        <v>90</v>
      </c>
      <c r="B14" s="12">
        <f>'1_製造業'!I19</f>
        <v>0.31776094213541389</v>
      </c>
      <c r="C14" s="12">
        <f>'2_生活関連型産業'!I19</f>
        <v>0.30684292766770133</v>
      </c>
      <c r="D14" s="12">
        <f>'3_基礎素材型産業'!I19</f>
        <v>0.3642614515846137</v>
      </c>
      <c r="E14" s="12">
        <f>'4_非製造業'!M19</f>
        <v>0.39974327645571345</v>
      </c>
      <c r="F14" s="12">
        <f>'5_卸売・小売業'!M19</f>
        <v>0.53038826543499729</v>
      </c>
      <c r="G14" s="12">
        <f>'6_サービス業'!M19</f>
        <v>0.46926583489815105</v>
      </c>
    </row>
    <row r="15" spans="1:7" ht="18.75">
      <c r="A15" s="6">
        <v>100</v>
      </c>
      <c r="B15" s="12">
        <f>'1_製造業'!I20</f>
        <v>0.33691912229842741</v>
      </c>
      <c r="C15" s="12">
        <f>'2_生活関連型産業'!I20</f>
        <v>0.32680012121649504</v>
      </c>
      <c r="D15" s="12">
        <f>'3_基礎素材型産業'!I20</f>
        <v>0.38801275195480817</v>
      </c>
      <c r="E15" s="12">
        <f>'4_非製造業'!M20</f>
        <v>0.41722705291415274</v>
      </c>
      <c r="F15" s="12">
        <f>'5_卸売・小売業'!M20</f>
        <v>0.55025372284739693</v>
      </c>
      <c r="G15" s="12">
        <f>'6_サービス業'!M20</f>
        <v>0.47961292978953829</v>
      </c>
    </row>
    <row r="16" spans="1:7" ht="18.75">
      <c r="A16" s="6">
        <v>110</v>
      </c>
      <c r="B16" s="12">
        <f>'1_製造業'!I21</f>
        <v>0.35534564215712072</v>
      </c>
      <c r="C16" s="12">
        <f>'2_生活関連型産業'!I21</f>
        <v>0.34538018437186102</v>
      </c>
      <c r="D16" s="12">
        <f>'3_基礎素材型産業'!I21</f>
        <v>0.4114001025951799</v>
      </c>
      <c r="E16" s="12">
        <f>'4_非製造業'!M21</f>
        <v>0.43352059502505091</v>
      </c>
      <c r="F16" s="12">
        <f>'5_卸売・小売業'!M21</f>
        <v>0.56826597225219666</v>
      </c>
      <c r="G16" s="12">
        <f>'6_サービス業'!M21</f>
        <v>0.48905679691630094</v>
      </c>
    </row>
    <row r="17" spans="1:7" ht="18.75">
      <c r="A17" s="6">
        <v>120</v>
      </c>
      <c r="B17" s="12">
        <f>'1_製造業'!I22</f>
        <v>0.37314379534911024</v>
      </c>
      <c r="C17" s="12">
        <f>'2_生活関連型産業'!I22</f>
        <v>0.36279173581007473</v>
      </c>
      <c r="D17" s="12">
        <f>'3_基礎素材型産業'!I22</f>
        <v>0.43430412126776818</v>
      </c>
      <c r="E17" s="12">
        <f>'4_非製造業'!M22</f>
        <v>0.44877643912434417</v>
      </c>
      <c r="F17" s="12">
        <f>'5_卸売・小売業'!M22</f>
        <v>0.58471056396570131</v>
      </c>
      <c r="G17" s="12">
        <f>'6_サービス業'!M22</f>
        <v>0.49774323891254157</v>
      </c>
    </row>
    <row r="18" spans="1:7" ht="18.75">
      <c r="A18" s="6">
        <v>130</v>
      </c>
      <c r="B18" s="12">
        <f>'1_製造業'!I23</f>
        <v>0.39037551050392955</v>
      </c>
      <c r="C18" s="12">
        <f>'2_生活関連型産業'!I23</f>
        <v>0.37919558293828354</v>
      </c>
      <c r="D18" s="12">
        <f>'3_基礎素材型産業'!I23</f>
        <v>0.45662587256369097</v>
      </c>
      <c r="E18" s="12">
        <f>'4_非製造業'!M23</f>
        <v>0.46311569699949212</v>
      </c>
      <c r="F18" s="12">
        <f>'5_卸売・小売業'!M23</f>
        <v>0.59981166090710392</v>
      </c>
      <c r="G18" s="12">
        <f>'6_サービス業'!M23</f>
        <v>0.50578487999057564</v>
      </c>
    </row>
    <row r="19" spans="1:7" ht="18.75">
      <c r="A19" s="6">
        <v>140</v>
      </c>
      <c r="B19" s="12">
        <f>'1_製造業'!I24</f>
        <v>0.40707920574555401</v>
      </c>
      <c r="C19" s="12">
        <f>'2_生活関連型産業'!I24</f>
        <v>0.39471808116713047</v>
      </c>
      <c r="D19" s="12">
        <f>'3_基礎素材型産業'!I24</f>
        <v>0.47829002335942827</v>
      </c>
      <c r="E19" s="12">
        <f>'4_非製造業'!M24</f>
        <v>0.47663703978657745</v>
      </c>
      <c r="F19" s="12">
        <f>'5_卸売・小売業'!M24</f>
        <v>0.6137486990846126</v>
      </c>
      <c r="G19" s="12">
        <f>'6_サービス業'!M24</f>
        <v>0.51327062068798102</v>
      </c>
    </row>
    <row r="20" spans="1:7" ht="18.75">
      <c r="A20" s="6">
        <v>150</v>
      </c>
      <c r="B20" s="12">
        <f>'1_製造業'!I25</f>
        <v>0.42328002226533123</v>
      </c>
      <c r="C20" s="12">
        <f>'2_生活関連型産業'!I25</f>
        <v>0.40946028849967575</v>
      </c>
      <c r="D20" s="12">
        <f>'3_基礎素材型産業'!I25</f>
        <v>0.49924338756336173</v>
      </c>
      <c r="E20" s="12">
        <f>'4_非製造業'!M25</f>
        <v>0.48942250785987329</v>
      </c>
      <c r="F20" s="12">
        <f>'5_卸売・小売業'!M25</f>
        <v>0.62666768393832761</v>
      </c>
      <c r="G20" s="12">
        <f>'6_サービス業'!M25</f>
        <v>0.52027192708434788</v>
      </c>
    </row>
    <row r="21" spans="1:7" ht="18.75">
      <c r="A21" s="6">
        <v>160</v>
      </c>
      <c r="B21" s="12">
        <f>'1_製造業'!I26</f>
        <v>0.43899573136995274</v>
      </c>
      <c r="C21" s="12">
        <f>'2_生活関連型産業'!I26</f>
        <v>0.42350435562812433</v>
      </c>
      <c r="D21" s="12">
        <f>'3_基礎素材型産業'!I26</f>
        <v>0.51945182718137539</v>
      </c>
      <c r="E21" s="12">
        <f>'4_非製造業'!M26</f>
        <v>0.50154143427206244</v>
      </c>
      <c r="F21" s="12">
        <f>'5_卸売・小売業'!M26</f>
        <v>0.6386890897866766</v>
      </c>
      <c r="G21" s="12">
        <f>'6_サービス業'!M26</f>
        <v>0.5268471521154382</v>
      </c>
    </row>
    <row r="22" spans="1:7" ht="18.75">
      <c r="A22" s="6">
        <v>170</v>
      </c>
      <c r="B22" s="12">
        <f>'1_製造業'!I27</f>
        <v>0.45424014774296795</v>
      </c>
      <c r="C22" s="12">
        <f>'2_生活関連型産業'!I27</f>
        <v>0.43691806608999995</v>
      </c>
      <c r="D22" s="12">
        <f>'3_基礎素材型産業'!I27</f>
        <v>0.53889682706799891</v>
      </c>
      <c r="E22" s="12">
        <f>'4_非製造業'!M27</f>
        <v>0.51305319443257491</v>
      </c>
      <c r="F22" s="12">
        <f>'5_卸売・小売業'!M27</f>
        <v>0.64991353035481358</v>
      </c>
      <c r="G22" s="12">
        <f>'6_サービス業'!M27</f>
        <v>0.53304458766735141</v>
      </c>
    </row>
    <row r="23" spans="1:7" ht="18.75">
      <c r="A23" s="6">
        <v>180</v>
      </c>
      <c r="B23" s="12">
        <f>'1_製造業'!I28</f>
        <v>0.46902508834714851</v>
      </c>
      <c r="C23" s="12">
        <f>'2_生活関連型産業'!I28</f>
        <v>0.44975811644877506</v>
      </c>
      <c r="D23" s="12">
        <f>'3_基礎素材型産業'!I28</f>
        <v>0.55757229587766066</v>
      </c>
      <c r="E23" s="12">
        <f>'4_非製造業'!M28</f>
        <v>0.52400919551194725</v>
      </c>
      <c r="F23" s="12">
        <f>'5_卸売・小売業'!M28</f>
        <v>0.66042592181419291</v>
      </c>
      <c r="G23" s="12">
        <f>'6_サービス業'!M28</f>
        <v>0.53890467196672132</v>
      </c>
    </row>
    <row r="24" spans="1:7" ht="18.75">
      <c r="A24" s="6">
        <v>190</v>
      </c>
      <c r="B24" s="12">
        <f>'1_製造業'!I29</f>
        <v>0.48336147657412276</v>
      </c>
      <c r="C24" s="12">
        <f>'2_生活関連型産業'!I29</f>
        <v>0.46207252359664697</v>
      </c>
      <c r="D24" s="12">
        <f>'3_基礎素材型産業'!I29</f>
        <v>0.57548179122035792</v>
      </c>
      <c r="E24" s="12">
        <f>'4_非製造業'!M29</f>
        <v>0.53445435566439525</v>
      </c>
      <c r="F24" s="12">
        <f>'5_卸売・小売業'!M29</f>
        <v>0.67029859929338598</v>
      </c>
      <c r="G24" s="12">
        <f>'6_サービス業'!M29</f>
        <v>0.54446161933931569</v>
      </c>
    </row>
    <row r="25" spans="1:7" ht="18.75">
      <c r="A25" s="6">
        <v>200</v>
      </c>
      <c r="B25" s="12">
        <f>'1_製造業'!I30</f>
        <v>0.49725994253245642</v>
      </c>
      <c r="C25" s="12">
        <f>'2_生活関連型産業'!I30</f>
        <v>0.47390241752373985</v>
      </c>
      <c r="D25" s="12">
        <f>'3_基礎素材型産業'!I30</f>
        <v>0.59263620631303127</v>
      </c>
      <c r="E25" s="12">
        <f>'4_非製造業'!M30</f>
        <v>0.54442823004577767</v>
      </c>
      <c r="F25" s="12">
        <f>'5_卸売・小売業'!M30</f>
        <v>0.6795936901578008</v>
      </c>
      <c r="G25" s="12">
        <f>'6_サービス業'!M30</f>
        <v>0.54974464550494817</v>
      </c>
    </row>
    <row r="26" spans="1:7" ht="18.75">
      <c r="A26" s="6">
        <v>210</v>
      </c>
      <c r="B26" s="12">
        <f>'1_製造業'!I31</f>
        <v>0.5107311271856585</v>
      </c>
      <c r="C26" s="12">
        <f>'2_生活関連型産業'!I31</f>
        <v>0.48528339483014571</v>
      </c>
      <c r="D26" s="12">
        <f>'3_基礎素材型産業'!I31</f>
        <v>0.60905188696631962</v>
      </c>
      <c r="E26" s="12">
        <f>'4_非製造業'!M31</f>
        <v>0.55396588548109982</v>
      </c>
      <c r="F26" s="12">
        <f>'5_卸売・小売業'!M31</f>
        <v>0.68836494880122245</v>
      </c>
      <c r="G26" s="12">
        <f>'6_サービス業'!M31</f>
        <v>0.55477890369464089</v>
      </c>
    </row>
    <row r="27" spans="1:7" ht="18.75">
      <c r="A27" s="6">
        <v>220</v>
      </c>
      <c r="B27" s="12">
        <f>'1_製造業'!I32</f>
        <v>0.52378581432113913</v>
      </c>
      <c r="C27" s="12">
        <f>'2_生活関連型産業'!I32</f>
        <v>0.4962465537762325</v>
      </c>
      <c r="D27" s="12">
        <f>'3_基礎素材型産業'!I32</f>
        <v>0.62474912297605734</v>
      </c>
      <c r="E27" s="12">
        <f>'4_非製造業'!M32</f>
        <v>0.5630985918659267</v>
      </c>
      <c r="F27" s="12">
        <f>'5_卸売・小売業'!M32</f>
        <v>0.69665919432164836</v>
      </c>
      <c r="G27" s="12">
        <f>'6_サービス業'!M32</f>
        <v>0.55958621015231336</v>
      </c>
    </row>
    <row r="28" spans="1:7" ht="18.75">
      <c r="A28" s="6">
        <v>230</v>
      </c>
      <c r="B28" s="12">
        <f>'1_製造業'!I33</f>
        <v>0.53643496470266283</v>
      </c>
      <c r="C28" s="12">
        <f>'2_生活関連型産業'!I33</f>
        <v>0.50681929535986292</v>
      </c>
      <c r="D28" s="12">
        <f>'3_基礎素材型産業'!I33</f>
        <v>0.63975095336230714</v>
      </c>
      <c r="E28" s="12">
        <f>'4_非製造業'!M33</f>
        <v>0.57185437704656805</v>
      </c>
      <c r="F28" s="12">
        <f>'5_卸売・小売業'!M33</f>
        <v>0.70451745067696325</v>
      </c>
      <c r="G28" s="12">
        <f>'6_サービス業'!M33</f>
        <v>0.5641856136802641</v>
      </c>
    </row>
    <row r="29" spans="1:7" ht="18.75">
      <c r="A29" s="6">
        <v>240</v>
      </c>
      <c r="B29" s="12">
        <f>'1_製造業'!I34</f>
        <v>0.548689697014627</v>
      </c>
      <c r="C29" s="12">
        <f>'2_生活関連型産業'!I34</f>
        <v>0.51702595034195142</v>
      </c>
      <c r="D29" s="12">
        <f>'3_基礎素材型産業'!I34</f>
        <v>0.65408222897326584</v>
      </c>
      <c r="E29" s="12">
        <f>'4_非製造業'!M34</f>
        <v>0.5802584780543637</v>
      </c>
      <c r="F29" s="12">
        <f>'5_卸売・小売業'!M34</f>
        <v>0.71197586075549157</v>
      </c>
      <c r="G29" s="12">
        <f>'6_サービス業'!M34</f>
        <v>0.56859384797079726</v>
      </c>
    </row>
    <row r="30" spans="1:7" ht="18.75">
      <c r="A30" s="6">
        <v>250</v>
      </c>
      <c r="B30" s="12">
        <f>'1_製造業'!I35</f>
        <v>0.56056124222562098</v>
      </c>
      <c r="C30" s="12">
        <f>'2_生活関連型産業'!I35</f>
        <v>0.52688827527610371</v>
      </c>
      <c r="D30" s="12">
        <f>'3_基礎素材型産業'!I35</f>
        <v>0.66776888323530403</v>
      </c>
      <c r="E30" s="12">
        <f>'4_非製造業'!M35</f>
        <v>0.58833371232115206</v>
      </c>
      <c r="F30" s="12">
        <f>'5_卸売・小売業'!M35</f>
        <v>0.7190664264323483</v>
      </c>
      <c r="G30" s="12">
        <f>'6_サービス業'!M35</f>
        <v>0.57282569464827904</v>
      </c>
    </row>
    <row r="31" spans="1:7" ht="18.75">
      <c r="A31" s="6">
        <v>260</v>
      </c>
      <c r="B31" s="12">
        <f>'1_製造業'!I36</f>
        <v>0.57206088706520042</v>
      </c>
      <c r="C31" s="12">
        <f>'2_生活関連型産業'!I36</f>
        <v>0.53642584886051337</v>
      </c>
      <c r="D31" s="12">
        <f>'3_基礎素材型産業'!I36</f>
        <v>0.68083736970487951</v>
      </c>
      <c r="E31" s="12">
        <f>'4_非製造業'!M36</f>
        <v>0.59610078619065965</v>
      </c>
      <c r="F31" s="12">
        <f>'5_卸売・小売業'!M36</f>
        <v>0.7258176131258105</v>
      </c>
      <c r="G31" s="12">
        <f>'6_サービス業'!M36</f>
        <v>0.57689427745627553</v>
      </c>
    </row>
    <row r="32" spans="1:7" ht="18.75">
      <c r="A32" s="6">
        <v>270</v>
      </c>
      <c r="B32" s="12">
        <f>'1_製造業'!I37</f>
        <v>0.58319991564163498</v>
      </c>
      <c r="C32" s="12">
        <f>'2_生活関連型産業'!I37</f>
        <v>0.54565639165592428</v>
      </c>
      <c r="D32" s="12">
        <f>'3_基礎素材型産業'!I37</f>
        <v>0.69331423243447088</v>
      </c>
      <c r="E32" s="12">
        <f>'4_非製造業'!M37</f>
        <v>0.60357855363938184</v>
      </c>
      <c r="F32" s="12">
        <f>'5_卸売・小売業'!M37</f>
        <v>0.73225484772126703</v>
      </c>
      <c r="G32" s="12">
        <f>'6_サービス業'!M37</f>
        <v>0.58081130275155912</v>
      </c>
    </row>
    <row r="33" spans="1:7" ht="18.75">
      <c r="A33" s="6">
        <v>280</v>
      </c>
      <c r="B33" s="12">
        <f>'1_製造業'!I38</f>
        <v>0.59398955416874377</v>
      </c>
      <c r="C33" s="12">
        <f>'2_生活関連型産業'!I38</f>
        <v>0.55459602630951077</v>
      </c>
      <c r="D33" s="12">
        <f>'3_基礎素材型産業'!I38</f>
        <v>0.70522578158313576</v>
      </c>
      <c r="E33" s="12">
        <f>'4_非製造業'!M38</f>
        <v>0.6107842349917072</v>
      </c>
      <c r="F33" s="12">
        <f>'5_卸売・小売業'!M38</f>
        <v>0.73840093176351129</v>
      </c>
      <c r="G33" s="12">
        <f>'6_サービス業'!M38</f>
        <v>0.58458725769741449</v>
      </c>
    </row>
    <row r="34" spans="1:7" ht="18.75">
      <c r="A34" s="6">
        <v>290</v>
      </c>
      <c r="B34" s="12">
        <f>'1_製造業'!I39</f>
        <v>0.60444092131279437</v>
      </c>
      <c r="C34" s="12">
        <f>'2_生活関連型産業'!I39</f>
        <v>0.56325949116365037</v>
      </c>
      <c r="D34" s="12">
        <f>'3_基礎素材型産業'!I39</f>
        <v>0.71659785209869542</v>
      </c>
      <c r="E34" s="12">
        <f>'4_非製造業'!M39</f>
        <v>0.6177336031499262</v>
      </c>
      <c r="F34" s="12">
        <f>'5_卸売・小売業'!M39</f>
        <v>0.74427638671815721</v>
      </c>
      <c r="G34" s="12">
        <f>'6_サービス業'!M39</f>
        <v>0.58823157481618893</v>
      </c>
    </row>
    <row r="35" spans="1:7" ht="18.75">
      <c r="A35" s="6">
        <v>300</v>
      </c>
      <c r="B35" s="12">
        <f>'1_製造業'!I40</f>
        <v>0.61456498520261049</v>
      </c>
      <c r="C35" s="12">
        <f>'2_生活関連型産業'!I40</f>
        <v>0.57166031702034248</v>
      </c>
      <c r="D35" s="12">
        <f>'3_基礎素材型産業'!I40</f>
        <v>0.7274556277375327</v>
      </c>
      <c r="E35" s="12">
        <f>'4_非製造業'!M40</f>
        <v>0.62444114319462041</v>
      </c>
      <c r="F35" s="12">
        <f>'5_卸売・小売業'!M40</f>
        <v>0.74989974432287876</v>
      </c>
      <c r="G35" s="12">
        <f>'6_サービス業'!M40</f>
        <v>0.59175276955456857</v>
      </c>
    </row>
    <row r="36" spans="1:7" ht="18.75">
      <c r="A36" s="6">
        <v>310</v>
      </c>
      <c r="B36" s="12">
        <f>'1_製造業'!I41</f>
        <v>0.62437252728979631</v>
      </c>
      <c r="C36" s="12">
        <f>'2_生活関連型産業'!I41</f>
        <v>0.5798109745415807</v>
      </c>
      <c r="D36" s="12">
        <f>'3_基礎素材型産業'!I41</f>
        <v>0.73782351629052434</v>
      </c>
      <c r="E36" s="12">
        <f>'4_非製造業'!M41</f>
        <v>0.63092018996803911</v>
      </c>
      <c r="F36" s="12">
        <f>'5_卸売・小売業'!M41</f>
        <v>0.75528779221515485</v>
      </c>
      <c r="G36" s="12">
        <f>'6_サービス業'!M41</f>
        <v>0.59515855602417211</v>
      </c>
    </row>
    <row r="37" spans="1:7" ht="18.75">
      <c r="A37" s="6">
        <v>320</v>
      </c>
      <c r="B37" s="12">
        <f>'1_製造業'!I42</f>
        <v>0.63387411276699401</v>
      </c>
      <c r="C37" s="12">
        <f>'2_生活関連型産業'!I42</f>
        <v>0.58772299806193584</v>
      </c>
      <c r="D37" s="12">
        <f>'3_基礎素材型産業'!I42</f>
        <v>0.74772506478248435</v>
      </c>
      <c r="E37" s="12">
        <f>'4_非製造業'!M42</f>
        <v>0.63718304731268893</v>
      </c>
      <c r="F37" s="12">
        <f>'5_卸売・小売業'!M42</f>
        <v>0.76045578287586568</v>
      </c>
      <c r="G37" s="12">
        <f>'6_サービス業'!M42</f>
        <v>0.59845594496002408</v>
      </c>
    </row>
    <row r="38" spans="1:7" ht="18.75">
      <c r="A38" s="6">
        <v>330</v>
      </c>
      <c r="B38" s="12">
        <f>'1_製造業'!I43</f>
        <v>0.64308006700433362</v>
      </c>
      <c r="C38" s="12">
        <f>'2_生活関連型産業'!I43</f>
        <v>0.59540709031033257</v>
      </c>
      <c r="D38" s="12">
        <f>'3_基礎素材型産業'!I43</f>
        <v>0.75718290573262959</v>
      </c>
      <c r="E38" s="12">
        <f>'4_非製造業'!M43</f>
        <v>0.64324109191701906</v>
      </c>
      <c r="F38" s="12">
        <f>'5_卸売・小売業'!M43</f>
        <v>0.76541761228505423</v>
      </c>
      <c r="G38" s="12">
        <f>'6_サービス業'!M43</f>
        <v>0.60165132708946778</v>
      </c>
    </row>
    <row r="39" spans="1:7" ht="18.75">
      <c r="A39" s="6">
        <v>340</v>
      </c>
      <c r="B39" s="12">
        <f>'1_製造業'!I44</f>
        <v>0.65200045735632883</v>
      </c>
      <c r="C39" s="12">
        <f>'2_生活関連型産業'!I44</f>
        <v>0.60287321156933182</v>
      </c>
      <c r="D39" s="12">
        <f>'3_基礎素材型産業'!I44</f>
        <v>0.76621872741421881</v>
      </c>
      <c r="E39" s="12">
        <f>'4_非製造業'!M44</f>
        <v>0.64910486416195801</v>
      </c>
      <c r="F39" s="12">
        <f>'5_卸売・小売業'!M44</f>
        <v>0.77018597341745854</v>
      </c>
      <c r="G39" s="12">
        <f>'6_サービス業'!M44</f>
        <v>0.60475054445284981</v>
      </c>
    </row>
    <row r="40" spans="1:7" ht="18.75">
      <c r="A40" s="6">
        <v>350</v>
      </c>
      <c r="B40" s="12">
        <f>'1_製造業'!I45</f>
        <v>0.66064507966635344</v>
      </c>
      <c r="C40" s="12">
        <f>'2_生活関連型産業'!I45</f>
        <v>0.61013065606078043</v>
      </c>
      <c r="D40" s="12">
        <f>'3_基礎素材型産業'!I45</f>
        <v>0.77485326252470021</v>
      </c>
      <c r="E40" s="12">
        <f>'4_非製造業'!M45</f>
        <v>0.65478414792512207</v>
      </c>
      <c r="F40" s="12">
        <f>'5_卸売・小売業'!M45</f>
        <v>0.77477248871744364</v>
      </c>
      <c r="G40" s="12">
        <f>'6_サービス業'!M45</f>
        <v>0.60775895171395578</v>
      </c>
    </row>
    <row r="41" spans="1:7" ht="18.75">
      <c r="A41" s="6">
        <v>360</v>
      </c>
      <c r="B41" s="12">
        <f>'1_製造業'!I46</f>
        <v>0.66902344881781217</v>
      </c>
      <c r="C41" s="12">
        <f>'2_生活関連型産業'!I46</f>
        <v>0.61718811777783222</v>
      </c>
      <c r="D41" s="12">
        <f>'3_基礎素材型産業'!I46</f>
        <v>0.78310629084901762</v>
      </c>
      <c r="E41" s="12">
        <f>'4_非製造業'!M46</f>
        <v>0.66028804095413929</v>
      </c>
      <c r="F41" s="12">
        <f>'5_卸売・小売業'!M46</f>
        <v>0.77918782491743499</v>
      </c>
      <c r="G41" s="12">
        <f>'6_サービス業'!M46</f>
        <v>0.61068146910589038</v>
      </c>
    </row>
    <row r="42" spans="1:7" ht="18.75">
      <c r="A42" s="6">
        <v>370</v>
      </c>
      <c r="B42" s="12">
        <f>'1_製造業'!I47</f>
        <v>0.67714479272813588</v>
      </c>
      <c r="C42" s="12">
        <f>'2_生活関連型産業'!I47</f>
        <v>0.62405374754248011</v>
      </c>
      <c r="D42" s="12">
        <f>'3_基礎素材型産業'!I47</f>
        <v>0.79099665242949013</v>
      </c>
      <c r="E42" s="12">
        <f>'4_非製造業'!M47</f>
        <v>0.66562501714512379</v>
      </c>
      <c r="F42" s="12">
        <f>'5_卸売・小売業'!M47</f>
        <v>0.78344179295068483</v>
      </c>
      <c r="G42" s="12">
        <f>'6_サービス業'!M47</f>
        <v>0.61352262834999249</v>
      </c>
    </row>
    <row r="43" spans="1:7" ht="18.75">
      <c r="A43" s="6">
        <v>380</v>
      </c>
      <c r="B43" s="12">
        <f>'1_製造業'!I48</f>
        <v>0.68501804924028598</v>
      </c>
      <c r="C43" s="12">
        <f>'2_生活関連型産業'!I48</f>
        <v>0.63073520272368899</v>
      </c>
      <c r="D43" s="12">
        <f>'3_基礎素材型産業'!I48</f>
        <v>0.79854226849513399</v>
      </c>
      <c r="E43" s="12">
        <f>'4_非製造業'!M48</f>
        <v>0.67080298184093334</v>
      </c>
      <c r="F43" s="12">
        <f>'5_卸売・小売業'!M48</f>
        <v>0.78754343522083181</v>
      </c>
      <c r="G43" s="12">
        <f>'6_サービス業'!M48</f>
        <v>0.6162866126416302</v>
      </c>
    </row>
    <row r="44" spans="1:7" ht="18.75">
      <c r="A44" s="6">
        <v>390</v>
      </c>
      <c r="B44" s="12">
        <f>'1_製造業'!I49</f>
        <v>0.69265186542837431</v>
      </c>
      <c r="C44" s="12">
        <f>'2_生活関連型産業'!I49</f>
        <v>0.63723969078088183</v>
      </c>
      <c r="D44" s="12">
        <f>'3_基礎素材型産業'!I49</f>
        <v>0.80576016799068595</v>
      </c>
      <c r="E44" s="12">
        <f>'4_非製造業'!M49</f>
        <v>0.67582932108450033</v>
      </c>
      <c r="F44" s="12">
        <f>'5_卸売・小売業'!M49</f>
        <v>0.79150110209925451</v>
      </c>
      <c r="G44" s="12">
        <f>'6_サービス業'!M49</f>
        <v>0.61897729160255899</v>
      </c>
    </row>
    <row r="45" spans="1:7" ht="18.75">
      <c r="A45" s="6">
        <v>400</v>
      </c>
      <c r="B45" s="12">
        <f>'1_製造業'!I50</f>
        <v>0.70005459889468313</v>
      </c>
      <c r="C45" s="12">
        <f>'2_生活関連型産業'!I50</f>
        <v>0.64357400758377703</v>
      </c>
      <c r="D45" s="12">
        <f>'3_基礎素材型産業'!I50</f>
        <v>0.81266651801225587</v>
      </c>
      <c r="E45" s="12">
        <f>'4_非製造業'!M50</f>
        <v>0.68071094561625445</v>
      </c>
      <c r="F45" s="12">
        <f>'5_卸売・小売業'!M50</f>
        <v>0.79532251920550179</v>
      </c>
      <c r="G45" s="12">
        <f>'6_サービス業'!M50</f>
        <v>0.62159825194386809</v>
      </c>
    </row>
    <row r="46" spans="1:7" ht="18.75">
      <c r="A46" s="6">
        <v>410</v>
      </c>
      <c r="B46" s="12">
        <f>'1_製造業'!I51</f>
        <v>0.70723432069215686</v>
      </c>
      <c r="C46" s="12">
        <f>'2_生活関連型産業'!I51</f>
        <v>0.64974457128949692</v>
      </c>
      <c r="D46" s="12">
        <f>'3_基礎素材型産業'!I51</f>
        <v>0.81927665682722906</v>
      </c>
      <c r="E46" s="12">
        <f>'4_非製造業'!M51</f>
        <v>0.68545433028457581</v>
      </c>
      <c r="F46" s="12">
        <f>'5_卸売・小売業'!M51</f>
        <v>0.79901484676995582</v>
      </c>
      <c r="G46" s="12">
        <f>'6_サービス業'!M51</f>
        <v>0.62415282445798426</v>
      </c>
    </row>
    <row r="47" spans="1:7" ht="18.75">
      <c r="A47" s="6">
        <v>420</v>
      </c>
      <c r="B47" s="12">
        <f>'1_製造業'!I52</f>
        <v>0.71419881955815978</v>
      </c>
      <c r="C47" s="12">
        <f>'2_生活関連型産業'!I52</f>
        <v>0.65575745242175176</v>
      </c>
      <c r="D47" s="12">
        <f>'3_基礎素材型産業'!I52</f>
        <v>0.8256051284504996</v>
      </c>
      <c r="E47" s="12">
        <f>'4_非製造業'!M52</f>
        <v>0.69006554943904486</v>
      </c>
      <c r="F47" s="12">
        <f>'5_卸売・小売業'!M52</f>
        <v>0.80258473216895543</v>
      </c>
      <c r="G47" s="12">
        <f>'6_サービス業'!M52</f>
        <v>0.62664410785633906</v>
      </c>
    </row>
    <row r="48" spans="1:7" ht="18.75">
      <c r="A48" s="6">
        <v>430</v>
      </c>
      <c r="B48" s="12">
        <f>'1_製造業'!I53</f>
        <v>0.72095560719147322</v>
      </c>
      <c r="C48" s="12">
        <f>'2_生活関連型産業'!I53</f>
        <v>0.66161840068734534</v>
      </c>
      <c r="D48" s="12">
        <f>'3_基礎素材型産業'!I53</f>
        <v>0.83166571798292832</v>
      </c>
      <c r="E48" s="12">
        <f>'4_非製造業'!M53</f>
        <v>0.694550308793902</v>
      </c>
      <c r="F48" s="12">
        <f>'5_卸売・小売業'!M53</f>
        <v>0.80603835655129807</v>
      </c>
      <c r="G48" s="12">
        <f>'6_サービス業'!M53</f>
        <v>0.62907498988622434</v>
      </c>
    </row>
    <row r="49" spans="1:7" ht="18.75">
      <c r="A49" s="6">
        <v>440</v>
      </c>
      <c r="B49" s="12">
        <f>'1_製造業'!I54</f>
        <v>0.72751192434518352</v>
      </c>
      <c r="C49" s="12">
        <f>'2_生活関連型産業'!I54</f>
        <v>0.66733286897658062</v>
      </c>
      <c r="D49" s="12">
        <f>'3_基礎素材型産業'!I54</f>
        <v>0.83747148710346131</v>
      </c>
      <c r="E49" s="12">
        <f>'4_非製造業'!M54</f>
        <v>0.69891397418036172</v>
      </c>
      <c r="F49" s="12">
        <f>'5_卸売・小売業'!M54</f>
        <v>0.80938147633386059</v>
      </c>
      <c r="G49" s="12">
        <f>'6_サービス業'!M54</f>
        <v>0.63144816609222876</v>
      </c>
    </row>
    <row r="50" spans="1:7" ht="18.75">
      <c r="A50" s="6">
        <v>450</v>
      </c>
      <c r="B50" s="12">
        <f>'1_製造業'!I55</f>
        <v>0.73387474754360249</v>
      </c>
      <c r="C50" s="12">
        <f>'2_生活関連型産業'!I55</f>
        <v>0.67290603492201095</v>
      </c>
      <c r="D50" s="12">
        <f>'3_基礎素材型産業'!I55</f>
        <v>0.84303480925346674</v>
      </c>
      <c r="E50" s="12">
        <f>'4_非製造業'!M55</f>
        <v>0.70316159754875651</v>
      </c>
      <c r="F50" s="12">
        <f>'5_卸売・小売業'!M55</f>
        <v>0.81261946022719966</v>
      </c>
      <c r="G50" s="12">
        <f>'6_サービス業'!M55</f>
        <v>0.63376615653151769</v>
      </c>
    </row>
    <row r="51" spans="1:7" ht="18.75">
      <c r="A51" s="6">
        <v>460</v>
      </c>
      <c r="B51" s="12">
        <f>'1_製造業'!I56</f>
        <v>0.74005079626206782</v>
      </c>
      <c r="C51" s="12">
        <f>'2_生活関連型産業'!I56</f>
        <v>0.67834282033099802</v>
      </c>
      <c r="D51" s="12">
        <f>'3_基礎素材型産業'!I56</f>
        <v>0.84836740416832224</v>
      </c>
      <c r="E51" s="12">
        <f>'4_非製造業'!M56</f>
        <v>0.70729794053285677</v>
      </c>
      <c r="F51" s="12">
        <f>'5_卸売・小売業'!M56</f>
        <v>0.81575732235479737</v>
      </c>
      <c r="G51" s="12">
        <f>'6_サービス業'!M56</f>
        <v>0.63603132070574542</v>
      </c>
    </row>
    <row r="52" spans="1:7" ht="18.75">
      <c r="A52" s="6">
        <v>470</v>
      </c>
      <c r="B52" s="12">
        <f>'1_製造業'!I57</f>
        <v>0.74604654043490959</v>
      </c>
      <c r="C52" s="12">
        <f>'2_生活関連型産業'!I57</f>
        <v>0.68364790875907122</v>
      </c>
      <c r="D52" s="12">
        <f>'3_基礎素材型産業'!I57</f>
        <v>0.85348037150334366</v>
      </c>
      <c r="E52" s="12">
        <f>'4_非製造業'!M57</f>
        <v>0.71132749584757282</v>
      </c>
      <c r="F52" s="12">
        <f>'5_卸売・小売業'!M57</f>
        <v>0.81879975194842891</v>
      </c>
      <c r="G52" s="12">
        <f>'6_サービス業'!M57</f>
        <v>0.63824587093374885</v>
      </c>
    </row>
    <row r="53" spans="1:7" ht="18.75">
      <c r="A53" s="6">
        <v>480</v>
      </c>
      <c r="B53" s="12">
        <f>'1_製造業'!I58</f>
        <v>0.75186820817949818</v>
      </c>
      <c r="C53" s="12">
        <f>'2_生活関連型産業'!I58</f>
        <v>0.68882576145106666</v>
      </c>
      <c r="D53" s="12">
        <f>'3_基礎素材型産業'!I58</f>
        <v>0.85838422337371489</v>
      </c>
      <c r="E53" s="12">
        <f>'4_非製造業'!M58</f>
        <v>0.71525450675626656</v>
      </c>
      <c r="F53" s="12">
        <f>'5_卸売・小売業'!M58</f>
        <v>0.82175114003406435</v>
      </c>
      <c r="G53" s="12">
        <f>'6_サービス業'!M58</f>
        <v>0.64041188435690333</v>
      </c>
    </row>
    <row r="54" spans="1:7" ht="18.75">
      <c r="A54" s="6">
        <v>490</v>
      </c>
      <c r="B54" s="12">
        <f>'1_製造業'!I59</f>
        <v>0.7575217936436085</v>
      </c>
      <c r="C54" s="12">
        <f>'2_生活関連型産業'!I59</f>
        <v>0.69388063184383797</v>
      </c>
      <c r="D54" s="12">
        <f>'3_基礎素材型産業'!I59</f>
        <v>0.86308891568509361</v>
      </c>
      <c r="E54" s="12">
        <f>'4_非製造業'!M59</f>
        <v>0.71908298481406441</v>
      </c>
      <c r="F54" s="12">
        <f>'5_卸売・小売業'!M59</f>
        <v>0.82461560346540241</v>
      </c>
      <c r="G54" s="12">
        <f>'6_サービス業'!M59</f>
        <v>0.64253131374196037</v>
      </c>
    </row>
    <row r="55" spans="1:7" ht="18.75">
      <c r="A55" s="6">
        <v>500</v>
      </c>
      <c r="B55" s="12">
        <f>'1_製造業'!I60</f>
        <v>0.76301306489976684</v>
      </c>
      <c r="C55" s="12">
        <f>'2_生活関連型産業'!I60</f>
        <v>0.69881657879668357</v>
      </c>
      <c r="D55" s="12">
        <f>'3_基礎素材型産業'!I60</f>
        <v>0.86760387817617846</v>
      </c>
      <c r="E55" s="12">
        <f>'4_非製造業'!M60</f>
        <v>0.72281672606801695</v>
      </c>
      <c r="F55" s="12">
        <f>'5_卸売・小売業'!M60</f>
        <v>0.82739700661372195</v>
      </c>
      <c r="G55" s="12">
        <f>'6_サービス業'!M60</f>
        <v>0.64460599722342127</v>
      </c>
    </row>
    <row r="56" spans="1:7" ht="18.75">
      <c r="A56" s="6">
        <v>510</v>
      </c>
      <c r="B56" s="12">
        <f>'1_製造業'!I61</f>
        <v>0.76834757182416979</v>
      </c>
      <c r="C56" s="12">
        <f>'2_生活関連型産業'!I61</f>
        <v>0.70363747869250248</v>
      </c>
      <c r="D56" s="12">
        <f>'3_基礎素材型産業'!I61</f>
        <v>0.87193804312922363</v>
      </c>
      <c r="E56" s="12">
        <f>'4_非製造業'!M61</f>
        <v>0.72645932587299411</v>
      </c>
      <c r="F56" s="12">
        <f>'5_卸売・小売業'!M61</f>
        <v>0.83009898098167545</v>
      </c>
      <c r="G56" s="12">
        <f>'6_サービス業'!M61</f>
        <v>0.64663766710825032</v>
      </c>
    </row>
    <row r="57" spans="1:7" ht="18.75">
      <c r="A57" s="6">
        <v>520</v>
      </c>
      <c r="B57" s="12">
        <f>'1_製造業'!I62</f>
        <v>0.77353065390956266</v>
      </c>
      <c r="C57" s="12">
        <f>'2_生活関連型産業'!I62</f>
        <v>0.70834703653326037</v>
      </c>
      <c r="D57" s="12">
        <f>'3_基礎素材型産業'!I62</f>
        <v>0.87609987273129963</v>
      </c>
      <c r="E57" s="12">
        <f>'4_非製造業'!M62</f>
        <v>0.73001419246329036</v>
      </c>
      <c r="F57" s="12">
        <f>'5_卸売・小売業'!M62</f>
        <v>0.83272494297372357</v>
      </c>
      <c r="G57" s="12">
        <f>'6_サービス業'!M62</f>
        <v>0.64862795784942806</v>
      </c>
    </row>
    <row r="58" spans="1:7" ht="18.75">
      <c r="A58" s="6">
        <v>530</v>
      </c>
      <c r="B58" s="12">
        <f>'1_製造業'!I63</f>
        <v>0.77856744797139976</v>
      </c>
      <c r="C58" s="12">
        <f>'2_生活関連型産業'!I63</f>
        <v>0.7129487961369515</v>
      </c>
      <c r="D58" s="12">
        <f>'3_基礎素材型産業'!I63</f>
        <v>0.88009738508960134</v>
      </c>
      <c r="E58" s="12">
        <f>'4_非製造業'!M63</f>
        <v>0.73348455940354573</v>
      </c>
      <c r="F58" s="12">
        <f>'5_卸売・小売業'!M63</f>
        <v>0.83527811002609065</v>
      </c>
      <c r="G58" s="12">
        <f>'6_サービス業'!M63</f>
        <v>0.65057841328095689</v>
      </c>
    </row>
    <row r="59" spans="1:7" ht="18.75">
      <c r="A59" s="6">
        <v>540</v>
      </c>
      <c r="B59" s="12">
        <f>'1_製造業'!I64</f>
        <v>0.78346289571499339</v>
      </c>
      <c r="C59" s="12">
        <f>'2_生活関連型産業'!I64</f>
        <v>0.71744614952936536</v>
      </c>
      <c r="D59" s="12">
        <f>'3_基礎素材型産業'!I64</f>
        <v>0.88393817891962179</v>
      </c>
      <c r="E59" s="12">
        <f>'4_非製造業'!M64</f>
        <v>0.73687349702840355</v>
      </c>
      <c r="F59" s="12">
        <f>'5_卸売・小売業'!M64</f>
        <v>0.83776151527359777</v>
      </c>
      <c r="G59" s="12">
        <f>'6_サービス業'!M64</f>
        <v>0.65249049319509544</v>
      </c>
    </row>
    <row r="60" spans="1:7" ht="18.75">
      <c r="A60" s="6">
        <v>550</v>
      </c>
      <c r="B60" s="12">
        <f>'1_製造業'!I65</f>
        <v>0.788221751138382</v>
      </c>
      <c r="C60" s="12">
        <f>'2_生活関連型産業'!I65</f>
        <v>0.72184234561216187</v>
      </c>
      <c r="D60" s="12">
        <f>'3_基礎素材型産業'!I65</f>
        <v>0.88762945693651929</v>
      </c>
      <c r="E60" s="12">
        <f>'4_非製造業'!M65</f>
        <v>0.74018392296798363</v>
      </c>
      <c r="F60" s="12">
        <f>'5_卸売・小売業'!M65</f>
        <v>0.840178020908803</v>
      </c>
      <c r="G60" s="12">
        <f>'6_サービス業'!M65</f>
        <v>0.65436557933244843</v>
      </c>
    </row>
    <row r="61" spans="1:7" ht="18.75">
      <c r="A61" s="6">
        <v>560</v>
      </c>
      <c r="B61" s="12">
        <f>'1_製造業'!I66</f>
        <v>0.79284858775155032</v>
      </c>
      <c r="C61" s="12">
        <f>'2_生活関連型産業'!I66</f>
        <v>0.72614049817869741</v>
      </c>
      <c r="D61" s="12">
        <f>'3_基礎素材型産業'!I66</f>
        <v>0.89117804798838818</v>
      </c>
      <c r="E61" s="12">
        <f>'4_非製造業'!M66</f>
        <v>0.74341861184549307</v>
      </c>
      <c r="F61" s="12">
        <f>'5_卸売・小売業'!M66</f>
        <v>0.84253033037000269</v>
      </c>
      <c r="G61" s="12">
        <f>'6_サービス業'!M66</f>
        <v>0.65620498084683532</v>
      </c>
    </row>
    <row r="62" spans="1:7" ht="18.75">
      <c r="A62" s="6">
        <v>570</v>
      </c>
      <c r="B62" s="12">
        <f>'1_製造業'!I67</f>
        <v>0.79734780559754281</v>
      </c>
      <c r="C62" s="12">
        <f>'2_生活関連型産業'!I67</f>
        <v>0.7303435933404181</v>
      </c>
      <c r="D62" s="12">
        <f>'3_基礎素材型産業'!I67</f>
        <v>0.89459042797601185</v>
      </c>
      <c r="E62" s="12">
        <f>'4_非製造業'!M67</f>
        <v>0.74658020422387994</v>
      </c>
      <c r="F62" s="12">
        <f>'5_卸売・小売業'!M67</f>
        <v>0.84482099947833567</v>
      </c>
      <c r="G62" s="12">
        <f>'6_サービス業'!M67</f>
        <v>0.65800993929935281</v>
      </c>
    </row>
    <row r="63" spans="1:7" ht="18.75">
      <c r="A63" s="6">
        <v>580</v>
      </c>
      <c r="B63" s="12">
        <f>'1_製造業'!I68</f>
        <v>0.80172363806512525</v>
      </c>
      <c r="C63" s="12">
        <f>'2_生活関連型産業'!I68</f>
        <v>0.73445449641923399</v>
      </c>
      <c r="D63" s="12">
        <f>'3_基礎素材型産業'!I68</f>
        <v>0.89787273960759406</v>
      </c>
      <c r="E63" s="12">
        <f>'4_非製造業'!M68</f>
        <v>0.74967121487020205</v>
      </c>
      <c r="F63" s="12">
        <f>'5_卸売・小売業'!M68</f>
        <v>0.84705244663011814</v>
      </c>
      <c r="G63" s="12">
        <f>'6_サービス業'!M68</f>
        <v>0.65978163322957561</v>
      </c>
    </row>
    <row r="64" spans="1:7" ht="18.75">
      <c r="A64" s="6">
        <v>590</v>
      </c>
      <c r="B64" s="12">
        <f>'1_製造業'!I69</f>
        <v>0.80598015848603977</v>
      </c>
      <c r="C64" s="12">
        <f>'2_生活関連型産業'!I69</f>
        <v>0.73847595835490532</v>
      </c>
      <c r="D64" s="12">
        <f>'3_基礎素材型産業'!I69</f>
        <v>0.90103081103935034</v>
      </c>
      <c r="E64" s="12">
        <f>'4_非製造業'!M69</f>
        <v>0.75269404039913368</v>
      </c>
      <c r="F64" s="12">
        <f>'5_卸売・小売業'!M69</f>
        <v>0.84922696213827775</v>
      </c>
      <c r="G64" s="12">
        <f>'6_サービス業'!M69</f>
        <v>0.66152118234622348</v>
      </c>
    </row>
    <row r="65" spans="1:7" ht="18.75">
      <c r="A65" s="6">
        <v>600</v>
      </c>
      <c r="B65" s="12">
        <f>'1_製造業'!I70</f>
        <v>0.81012128651271276</v>
      </c>
      <c r="C65" s="12">
        <f>'2_生活関連型産業'!I70</f>
        <v>0.74241062167094085</v>
      </c>
      <c r="D65" s="12">
        <f>'3_基礎素材型産業'!I70</f>
        <v>0.9040701734540102</v>
      </c>
      <c r="E65" s="12">
        <f>'4_非製造業'!M70</f>
        <v>0.75565096635065387</v>
      </c>
      <c r="F65" s="12">
        <f>'5_卸売・小売業'!M70</f>
        <v>0.85134671680608509</v>
      </c>
      <c r="G65" s="12">
        <f>'6_サービス業'!M70</f>
        <v>0.66322965137475098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7109375" defaultRowHeight="15"/>
  <cols>
    <col min="1" max="1" width="12" customWidth="1"/>
    <col min="2" max="8" width="17" customWidth="1"/>
  </cols>
  <sheetData>
    <row r="1" spans="1:7" ht="18">
      <c r="A1" s="1" t="s">
        <v>57</v>
      </c>
    </row>
    <row r="2" spans="1:7" ht="18.75">
      <c r="A2" s="2" t="s">
        <v>58</v>
      </c>
    </row>
    <row r="4" spans="1:7" ht="33">
      <c r="A4" s="3" t="s">
        <v>56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18.75">
      <c r="A5" s="6">
        <v>0</v>
      </c>
      <c r="B5" s="12">
        <f>IF($A5&lt;=0,0,0.125*_xlfn.NORM.S.DIST((LN($A5)-データ!$B$5)/データ!$B$10,TRUE())+0.25*_xlfn.NORM.S.DIST((LN($A5)-データ!$B$6)/データ!$B$10,TRUE())+0.375*_xlfn.NORM.S.DIST((LN($A5)-データ!$B$7)/データ!$B$10,TRUE()))</f>
        <v>0</v>
      </c>
      <c r="C5" s="12">
        <f>IF($A5&lt;=0,0,0.125*_xlfn.NORM.S.DIST((LN($A5)-データ!$C$5)/データ!$C$10,TRUE())+0.25*_xlfn.NORM.S.DIST((LN($A5)-データ!$C$6)/データ!$C$10,TRUE())+0.375*_xlfn.NORM.S.DIST((LN($A5)-データ!$C$7)/データ!$C$10,TRUE()))</f>
        <v>0</v>
      </c>
      <c r="D5" s="12">
        <f>IF($A5&lt;=0,0,0.125*_xlfn.NORM.S.DIST((LN($A5)-データ!$D$5)/データ!$D$10,TRUE())+0.25*_xlfn.NORM.S.DIST((LN($A5)-データ!$D$6)/データ!$D$10,TRUE())+0.375*_xlfn.NORM.S.DIST((LN($A5)-データ!$D$7)/データ!$D$10,TRUE()))</f>
        <v>0</v>
      </c>
      <c r="E5" s="12">
        <f>IF($A5&lt;=0,0,0.125*_xlfn.NORM.S.DIST((LN($A5)-データ!$E$5)/データ!$E$10,TRUE())+0.25*_xlfn.NORM.S.DIST((LN($A5)-データ!$E$6)/データ!$E$10,TRUE())+0.25*_xlfn.NORM.S.DIST((LN($A5)-データ!$E$7)/データ!$E$10,TRUE())+0.25*_xlfn.NORM.S.DIST((LN($A5)-データ!$E$8)/データ!$E$10,TRUE())+0.125*_xlfn.NORM.S.DIST((LN($A5)-データ!$E$9)/データ!$E$10,TRUE()))</f>
        <v>0</v>
      </c>
      <c r="F5" s="12">
        <f>IF($A5&lt;=0,0,0.125*_xlfn.NORM.S.DIST((LN($A5)-データ!$F$5)/データ!$F$10,TRUE())+0.25*_xlfn.NORM.S.DIST((LN($A5)-データ!$F$6)/データ!$F$10,TRUE())+0.25*_xlfn.NORM.S.DIST((LN($A5)-データ!$F$7)/データ!$F$10,TRUE())+0.25*_xlfn.NORM.S.DIST((LN($A5)-データ!$F$8)/データ!$F$10,TRUE())+0.125*_xlfn.NORM.S.DIST((LN($A5)-データ!$F$9)/データ!$F$10,TRUE()))</f>
        <v>0</v>
      </c>
      <c r="G5" s="12">
        <f>IF($A5&lt;=0,0,0.125*_xlfn.NORM.S.DIST((LN($A5)-データ!$G$5)/データ!$G$10,TRUE())+0.25*_xlfn.NORM.S.DIST((LN($A5)-データ!$G$6)/データ!$G$10,TRUE())+0.25*_xlfn.NORM.S.DIST((LN($A5)-データ!$G$7)/データ!$G$10,TRUE())+0.25*_xlfn.NORM.S.DIST((LN($A5)-データ!$G$8)/データ!$G$10,TRUE())+0.125*_xlfn.NORM.S.DIST((LN($A5)-データ!$G$9)/データ!$G$10,TRUE()))</f>
        <v>0</v>
      </c>
    </row>
    <row r="6" spans="1:7" ht="18.75">
      <c r="A6" s="6">
        <v>10</v>
      </c>
      <c r="B6" s="12">
        <f>IF($A6&lt;=0,0,0.125*_xlfn.NORM.S.DIST((LN($A6)-データ!$B$5)/データ!$B$10,TRUE())+0.25*_xlfn.NORM.S.DIST((LN($A6)-データ!$B$6)/データ!$B$10,TRUE())+0.375*_xlfn.NORM.S.DIST((LN($A6)-データ!$B$7)/データ!$B$10,TRUE()))</f>
        <v>2.1181665551242686E-2</v>
      </c>
      <c r="C6" s="12">
        <f>IF($A6&lt;=0,0,0.125*_xlfn.NORM.S.DIST((LN($A6)-データ!$C$5)/データ!$C$10,TRUE())+0.25*_xlfn.NORM.S.DIST((LN($A6)-データ!$C$6)/データ!$C$10,TRUE())+0.375*_xlfn.NORM.S.DIST((LN($A6)-データ!$C$7)/データ!$C$10,TRUE()))</f>
        <v>1.6682102505721632E-2</v>
      </c>
      <c r="D6" s="12">
        <f>IF($A6&lt;=0,0,0.125*_xlfn.NORM.S.DIST((LN($A6)-データ!$D$5)/データ!$D$10,TRUE())+0.25*_xlfn.NORM.S.DIST((LN($A6)-データ!$D$6)/データ!$D$10,TRUE())+0.375*_xlfn.NORM.S.DIST((LN($A6)-データ!$D$7)/データ!$D$10,TRUE()))</f>
        <v>3.889198142416541E-2</v>
      </c>
      <c r="E6" s="12">
        <f>IF($A6&lt;=0,0,0.125*_xlfn.NORM.S.DIST((LN($A6)-データ!$E$5)/データ!$E$10,TRUE())+0.25*_xlfn.NORM.S.DIST((LN($A6)-データ!$E$6)/データ!$E$10,TRUE())+0.25*_xlfn.NORM.S.DIST((LN($A6)-データ!$E$7)/データ!$E$10,TRUE())+0.25*_xlfn.NORM.S.DIST((LN($A6)-データ!$E$8)/データ!$E$10,TRUE())+0.125*_xlfn.NORM.S.DIST((LN($A6)-データ!$E$9)/データ!$E$10,TRUE()))</f>
        <v>7.1486095075782768E-2</v>
      </c>
      <c r="F6" s="12">
        <f>IF($A6&lt;=0,0,0.125*_xlfn.NORM.S.DIST((LN($A6)-データ!$F$5)/データ!$F$10,TRUE())+0.25*_xlfn.NORM.S.DIST((LN($A6)-データ!$F$6)/データ!$F$10,TRUE())+0.25*_xlfn.NORM.S.DIST((LN($A6)-データ!$F$7)/データ!$F$10,TRUE())+0.25*_xlfn.NORM.S.DIST((LN($A6)-データ!$F$8)/データ!$F$10,TRUE())+0.125*_xlfn.NORM.S.DIST((LN($A6)-データ!$F$9)/データ!$F$10,TRUE()))</f>
        <v>0.11488358061841376</v>
      </c>
      <c r="G6" s="12">
        <f>IF($A6&lt;=0,0,0.125*_xlfn.NORM.S.DIST((LN($A6)-データ!$G$5)/データ!$G$10,TRUE())+0.25*_xlfn.NORM.S.DIST((LN($A6)-データ!$G$6)/データ!$G$10,TRUE())+0.25*_xlfn.NORM.S.DIST((LN($A6)-データ!$G$7)/データ!$G$10,TRUE())+0.25*_xlfn.NORM.S.DIST((LN($A6)-データ!$G$8)/データ!$G$10,TRUE())+0.125*_xlfn.NORM.S.DIST((LN($A6)-データ!$G$9)/データ!$G$10,TRUE()))</f>
        <v>0.18596702129683981</v>
      </c>
    </row>
    <row r="7" spans="1:7" ht="18.75">
      <c r="A7" s="6">
        <v>20</v>
      </c>
      <c r="B7" s="12">
        <f>IF($A7&lt;=0,0,0.125*_xlfn.NORM.S.DIST((LN($A7)-データ!$B$5)/データ!$B$10,TRUE())+0.25*_xlfn.NORM.S.DIST((LN($A7)-データ!$B$6)/データ!$B$10,TRUE())+0.375*_xlfn.NORM.S.DIST((LN($A7)-データ!$B$7)/データ!$B$10,TRUE()))</f>
        <v>5.5792201341093611E-2</v>
      </c>
      <c r="C7" s="12">
        <f>IF($A7&lt;=0,0,0.125*_xlfn.NORM.S.DIST((LN($A7)-データ!$C$5)/データ!$C$10,TRUE())+0.25*_xlfn.NORM.S.DIST((LN($A7)-データ!$C$6)/データ!$C$10,TRUE())+0.375*_xlfn.NORM.S.DIST((LN($A7)-データ!$C$7)/データ!$C$10,TRUE()))</f>
        <v>4.6150088767506647E-2</v>
      </c>
      <c r="D7" s="12">
        <f>IF($A7&lt;=0,0,0.125*_xlfn.NORM.S.DIST((LN($A7)-データ!$D$5)/データ!$D$10,TRUE())+0.25*_xlfn.NORM.S.DIST((LN($A7)-データ!$D$6)/データ!$D$10,TRUE())+0.375*_xlfn.NORM.S.DIST((LN($A7)-データ!$D$7)/データ!$D$10,TRUE()))</f>
        <v>8.1156069903428052E-2</v>
      </c>
      <c r="E7" s="12">
        <f>IF($A7&lt;=0,0,0.125*_xlfn.NORM.S.DIST((LN($A7)-データ!$E$5)/データ!$E$10,TRUE())+0.25*_xlfn.NORM.S.DIST((LN($A7)-データ!$E$6)/データ!$E$10,TRUE())+0.25*_xlfn.NORM.S.DIST((LN($A7)-データ!$E$7)/データ!$E$10,TRUE())+0.25*_xlfn.NORM.S.DIST((LN($A7)-データ!$E$8)/データ!$E$10,TRUE())+0.125*_xlfn.NORM.S.DIST((LN($A7)-データ!$E$9)/データ!$E$10,TRUE()))</f>
        <v>0.1152451912703191</v>
      </c>
      <c r="F7" s="12">
        <f>IF($A7&lt;=0,0,0.125*_xlfn.NORM.S.DIST((LN($A7)-データ!$F$5)/データ!$F$10,TRUE())+0.25*_xlfn.NORM.S.DIST((LN($A7)-データ!$F$6)/データ!$F$10,TRUE())+0.25*_xlfn.NORM.S.DIST((LN($A7)-データ!$F$7)/データ!$F$10,TRUE())+0.25*_xlfn.NORM.S.DIST((LN($A7)-データ!$F$8)/データ!$F$10,TRUE())+0.125*_xlfn.NORM.S.DIST((LN($A7)-データ!$F$9)/データ!$F$10,TRUE()))</f>
        <v>0.18748368852819711</v>
      </c>
      <c r="G7" s="12">
        <f>IF($A7&lt;=0,0,0.125*_xlfn.NORM.S.DIST((LN($A7)-データ!$G$5)/データ!$G$10,TRUE())+0.25*_xlfn.NORM.S.DIST((LN($A7)-データ!$G$6)/データ!$G$10,TRUE())+0.25*_xlfn.NORM.S.DIST((LN($A7)-データ!$G$7)/データ!$G$10,TRUE())+0.25*_xlfn.NORM.S.DIST((LN($A7)-データ!$G$8)/データ!$G$10,TRUE())+0.125*_xlfn.NORM.S.DIST((LN($A7)-データ!$G$9)/データ!$G$10,TRUE()))</f>
        <v>0.23456337418877682</v>
      </c>
    </row>
    <row r="8" spans="1:7" ht="18.75">
      <c r="A8" s="6">
        <v>30</v>
      </c>
      <c r="B8" s="12">
        <f>IF($A8&lt;=0,0,0.125*_xlfn.NORM.S.DIST((LN($A8)-データ!$B$5)/データ!$B$10,TRUE())+0.25*_xlfn.NORM.S.DIST((LN($A8)-データ!$B$6)/データ!$B$10,TRUE())+0.375*_xlfn.NORM.S.DIST((LN($A8)-データ!$B$7)/データ!$B$10,TRUE()))</f>
        <v>8.3638323785153679E-2</v>
      </c>
      <c r="C8" s="12">
        <f>IF($A8&lt;=0,0,0.125*_xlfn.NORM.S.DIST((LN($A8)-データ!$C$5)/データ!$C$10,TRUE())+0.25*_xlfn.NORM.S.DIST((LN($A8)-データ!$C$6)/データ!$C$10,TRUE())+0.375*_xlfn.NORM.S.DIST((LN($A8)-データ!$C$7)/データ!$C$10,TRUE()))</f>
        <v>7.4144141251588469E-2</v>
      </c>
      <c r="D8" s="12">
        <f>IF($A8&lt;=0,0,0.125*_xlfn.NORM.S.DIST((LN($A8)-データ!$D$5)/データ!$D$10,TRUE())+0.25*_xlfn.NORM.S.DIST((LN($A8)-データ!$D$6)/データ!$D$10,TRUE())+0.375*_xlfn.NORM.S.DIST((LN($A8)-データ!$D$7)/データ!$D$10,TRUE()))</f>
        <v>0.10795270606001517</v>
      </c>
      <c r="E8" s="12">
        <f>IF($A8&lt;=0,0,0.125*_xlfn.NORM.S.DIST((LN($A8)-データ!$E$5)/データ!$E$10,TRUE())+0.25*_xlfn.NORM.S.DIST((LN($A8)-データ!$E$6)/データ!$E$10,TRUE())+0.25*_xlfn.NORM.S.DIST((LN($A8)-データ!$E$7)/データ!$E$10,TRUE())+0.25*_xlfn.NORM.S.DIST((LN($A8)-データ!$E$8)/データ!$E$10,TRUE())+0.125*_xlfn.NORM.S.DIST((LN($A8)-データ!$E$9)/データ!$E$10,TRUE()))</f>
        <v>0.14857333699774208</v>
      </c>
      <c r="F8" s="12">
        <f>IF($A8&lt;=0,0,0.125*_xlfn.NORM.S.DIST((LN($A8)-データ!$F$5)/データ!$F$10,TRUE())+0.25*_xlfn.NORM.S.DIST((LN($A8)-データ!$F$6)/データ!$F$10,TRUE())+0.25*_xlfn.NORM.S.DIST((LN($A8)-データ!$F$7)/データ!$F$10,TRUE())+0.25*_xlfn.NORM.S.DIST((LN($A8)-データ!$F$8)/データ!$F$10,TRUE())+0.125*_xlfn.NORM.S.DIST((LN($A8)-データ!$F$9)/データ!$F$10,TRUE()))</f>
        <v>0.24268146643097432</v>
      </c>
      <c r="G8" s="12">
        <f>IF($A8&lt;=0,0,0.125*_xlfn.NORM.S.DIST((LN($A8)-データ!$G$5)/データ!$G$10,TRUE())+0.25*_xlfn.NORM.S.DIST((LN($A8)-データ!$G$6)/データ!$G$10,TRUE())+0.25*_xlfn.NORM.S.DIST((LN($A8)-データ!$G$7)/データ!$G$10,TRUE())+0.25*_xlfn.NORM.S.DIST((LN($A8)-データ!$G$8)/データ!$G$10,TRUE())+0.125*_xlfn.NORM.S.DIST((LN($A8)-データ!$G$9)/データ!$G$10,TRUE()))</f>
        <v>0.26739571761827713</v>
      </c>
    </row>
    <row r="9" spans="1:7" ht="18.75">
      <c r="A9" s="6">
        <v>40</v>
      </c>
      <c r="B9" s="12">
        <f>IF($A9&lt;=0,0,0.125*_xlfn.NORM.S.DIST((LN($A9)-データ!$B$5)/データ!$B$10,TRUE())+0.25*_xlfn.NORM.S.DIST((LN($A9)-データ!$B$6)/データ!$B$10,TRUE())+0.375*_xlfn.NORM.S.DIST((LN($A9)-データ!$B$7)/データ!$B$10,TRUE()))</f>
        <v>0.10645244212061769</v>
      </c>
      <c r="C9" s="12">
        <f>IF($A9&lt;=0,0,0.125*_xlfn.NORM.S.DIST((LN($A9)-データ!$C$5)/データ!$C$10,TRUE())+0.25*_xlfn.NORM.S.DIST((LN($A9)-データ!$C$6)/データ!$C$10,TRUE())+0.375*_xlfn.NORM.S.DIST((LN($A9)-データ!$C$7)/データ!$C$10,TRUE()))</f>
        <v>9.9443525292337909E-2</v>
      </c>
      <c r="D9" s="12">
        <f>IF($A9&lt;=0,0,0.125*_xlfn.NORM.S.DIST((LN($A9)-データ!$D$5)/データ!$D$10,TRUE())+0.25*_xlfn.NORM.S.DIST((LN($A9)-データ!$D$6)/データ!$D$10,TRUE())+0.375*_xlfn.NORM.S.DIST((LN($A9)-データ!$D$7)/データ!$D$10,TRUE()))</f>
        <v>0.12905713527280097</v>
      </c>
      <c r="E9" s="12">
        <f>IF($A9&lt;=0,0,0.125*_xlfn.NORM.S.DIST((LN($A9)-データ!$E$5)/データ!$E$10,TRUE())+0.25*_xlfn.NORM.S.DIST((LN($A9)-データ!$E$6)/データ!$E$10,TRUE())+0.25*_xlfn.NORM.S.DIST((LN($A9)-データ!$E$7)/データ!$E$10,TRUE())+0.25*_xlfn.NORM.S.DIST((LN($A9)-データ!$E$8)/データ!$E$10,TRUE())+0.125*_xlfn.NORM.S.DIST((LN($A9)-データ!$E$9)/データ!$E$10,TRUE()))</f>
        <v>0.17719584383756831</v>
      </c>
      <c r="F9" s="12">
        <f>IF($A9&lt;=0,0,0.125*_xlfn.NORM.S.DIST((LN($A9)-データ!$F$5)/データ!$F$10,TRUE())+0.25*_xlfn.NORM.S.DIST((LN($A9)-データ!$F$6)/データ!$F$10,TRUE())+0.25*_xlfn.NORM.S.DIST((LN($A9)-データ!$F$7)/データ!$F$10,TRUE())+0.25*_xlfn.NORM.S.DIST((LN($A9)-データ!$F$8)/データ!$F$10,TRUE())+0.125*_xlfn.NORM.S.DIST((LN($A9)-データ!$F$9)/データ!$F$10,TRUE()))</f>
        <v>0.28782014450730165</v>
      </c>
      <c r="G9" s="12">
        <f>IF($A9&lt;=0,0,0.125*_xlfn.NORM.S.DIST((LN($A9)-データ!$G$5)/データ!$G$10,TRUE())+0.25*_xlfn.NORM.S.DIST((LN($A9)-データ!$G$6)/データ!$G$10,TRUE())+0.25*_xlfn.NORM.S.DIST((LN($A9)-データ!$G$7)/データ!$G$10,TRUE())+0.25*_xlfn.NORM.S.DIST((LN($A9)-データ!$G$8)/データ!$G$10,TRUE())+0.125*_xlfn.NORM.S.DIST((LN($A9)-データ!$G$9)/データ!$G$10,TRUE()))</f>
        <v>0.29269892500370526</v>
      </c>
    </row>
    <row r="10" spans="1:7" ht="18.75">
      <c r="A10" s="6">
        <v>50</v>
      </c>
      <c r="B10" s="12">
        <f>IF($A10&lt;=0,0,0.125*_xlfn.NORM.S.DIST((LN($A10)-データ!$B$5)/データ!$B$10,TRUE())+0.25*_xlfn.NORM.S.DIST((LN($A10)-データ!$B$6)/データ!$B$10,TRUE())+0.375*_xlfn.NORM.S.DIST((LN($A10)-データ!$B$7)/データ!$B$10,TRUE()))</f>
        <v>0.12647336919651142</v>
      </c>
      <c r="C10" s="12">
        <f>IF($A10&lt;=0,0,0.125*_xlfn.NORM.S.DIST((LN($A10)-データ!$C$5)/データ!$C$10,TRUE())+0.25*_xlfn.NORM.S.DIST((LN($A10)-データ!$C$6)/データ!$C$10,TRUE())+0.375*_xlfn.NORM.S.DIST((LN($A10)-データ!$C$7)/データ!$C$10,TRUE()))</f>
        <v>0.12236600897993763</v>
      </c>
      <c r="D10" s="12">
        <f>IF($A10&lt;=0,0,0.125*_xlfn.NORM.S.DIST((LN($A10)-データ!$D$5)/データ!$D$10,TRUE())+0.25*_xlfn.NORM.S.DIST((LN($A10)-データ!$D$6)/データ!$D$10,TRUE())+0.375*_xlfn.NORM.S.DIST((LN($A10)-データ!$D$7)/データ!$D$10,TRUE()))</f>
        <v>0.14876096971744102</v>
      </c>
      <c r="E10" s="12">
        <f>IF($A10&lt;=0,0,0.125*_xlfn.NORM.S.DIST((LN($A10)-データ!$E$5)/データ!$E$10,TRUE())+0.25*_xlfn.NORM.S.DIST((LN($A10)-データ!$E$6)/データ!$E$10,TRUE())+0.25*_xlfn.NORM.S.DIST((LN($A10)-データ!$E$7)/データ!$E$10,TRUE())+0.25*_xlfn.NORM.S.DIST((LN($A10)-データ!$E$8)/データ!$E$10,TRUE())+0.125*_xlfn.NORM.S.DIST((LN($A10)-データ!$E$9)/データ!$E$10,TRUE()))</f>
        <v>0.20290841376454122</v>
      </c>
      <c r="F10" s="12">
        <f>IF($A10&lt;=0,0,0.125*_xlfn.NORM.S.DIST((LN($A10)-データ!$F$5)/データ!$F$10,TRUE())+0.25*_xlfn.NORM.S.DIST((LN($A10)-データ!$F$6)/データ!$F$10,TRUE())+0.25*_xlfn.NORM.S.DIST((LN($A10)-データ!$F$7)/データ!$F$10,TRUE())+0.25*_xlfn.NORM.S.DIST((LN($A10)-データ!$F$8)/データ!$F$10,TRUE())+0.125*_xlfn.NORM.S.DIST((LN($A10)-データ!$F$9)/データ!$F$10,TRUE()))</f>
        <v>0.32613068893333791</v>
      </c>
      <c r="G10" s="12">
        <f>IF($A10&lt;=0,0,0.125*_xlfn.NORM.S.DIST((LN($A10)-データ!$G$5)/データ!$G$10,TRUE())+0.25*_xlfn.NORM.S.DIST((LN($A10)-データ!$G$6)/データ!$G$10,TRUE())+0.25*_xlfn.NORM.S.DIST((LN($A10)-データ!$G$7)/データ!$G$10,TRUE())+0.25*_xlfn.NORM.S.DIST((LN($A10)-データ!$G$8)/データ!$G$10,TRUE())+0.125*_xlfn.NORM.S.DIST((LN($A10)-データ!$G$9)/データ!$G$10,TRUE()))</f>
        <v>0.31345324712103312</v>
      </c>
    </row>
    <row r="11" spans="1:7" ht="18.75">
      <c r="A11" s="6">
        <v>60</v>
      </c>
      <c r="B11" s="12">
        <f>IF($A11&lt;=0,0,0.125*_xlfn.NORM.S.DIST((LN($A11)-データ!$B$5)/データ!$B$10,TRUE())+0.25*_xlfn.NORM.S.DIST((LN($A11)-データ!$B$6)/データ!$B$10,TRUE())+0.375*_xlfn.NORM.S.DIST((LN($A11)-データ!$B$7)/データ!$B$10,TRUE()))</f>
        <v>0.14494651854940349</v>
      </c>
      <c r="C11" s="12">
        <f>IF($A11&lt;=0,0,0.125*_xlfn.NORM.S.DIST((LN($A11)-データ!$C$5)/データ!$C$10,TRUE())+0.25*_xlfn.NORM.S.DIST((LN($A11)-データ!$C$6)/データ!$C$10,TRUE())+0.375*_xlfn.NORM.S.DIST((LN($A11)-データ!$C$7)/データ!$C$10,TRUE()))</f>
        <v>0.14332816088921946</v>
      </c>
      <c r="D11" s="12">
        <f>IF($A11&lt;=0,0,0.125*_xlfn.NORM.S.DIST((LN($A11)-データ!$D$5)/データ!$D$10,TRUE())+0.25*_xlfn.NORM.S.DIST((LN($A11)-データ!$D$6)/データ!$D$10,TRUE())+0.375*_xlfn.NORM.S.DIST((LN($A11)-データ!$D$7)/データ!$D$10,TRUE()))</f>
        <v>0.1684852322335979</v>
      </c>
      <c r="E11" s="12">
        <f>IF($A11&lt;=0,0,0.125*_xlfn.NORM.S.DIST((LN($A11)-データ!$E$5)/データ!$E$10,TRUE())+0.25*_xlfn.NORM.S.DIST((LN($A11)-データ!$E$6)/データ!$E$10,TRUE())+0.25*_xlfn.NORM.S.DIST((LN($A11)-データ!$E$7)/データ!$E$10,TRUE())+0.25*_xlfn.NORM.S.DIST((LN($A11)-データ!$E$8)/データ!$E$10,TRUE())+0.125*_xlfn.NORM.S.DIST((LN($A11)-データ!$E$9)/データ!$E$10,TRUE()))</f>
        <v>0.22648553007971431</v>
      </c>
      <c r="F11" s="12">
        <f>IF($A11&lt;=0,0,0.125*_xlfn.NORM.S.DIST((LN($A11)-データ!$F$5)/データ!$F$10,TRUE())+0.25*_xlfn.NORM.S.DIST((LN($A11)-データ!$F$6)/データ!$F$10,TRUE())+0.25*_xlfn.NORM.S.DIST((LN($A11)-データ!$F$7)/データ!$F$10,TRUE())+0.25*_xlfn.NORM.S.DIST((LN($A11)-データ!$F$8)/データ!$F$10,TRUE())+0.125*_xlfn.NORM.S.DIST((LN($A11)-データ!$F$9)/データ!$F$10,TRUE()))</f>
        <v>0.35941434012157258</v>
      </c>
      <c r="G11" s="12">
        <f>IF($A11&lt;=0,0,0.125*_xlfn.NORM.S.DIST((LN($A11)-データ!$G$5)/データ!$G$10,TRUE())+0.25*_xlfn.NORM.S.DIST((LN($A11)-データ!$G$6)/データ!$G$10,TRUE())+0.25*_xlfn.NORM.S.DIST((LN($A11)-データ!$G$7)/データ!$G$10,TRUE())+0.25*_xlfn.NORM.S.DIST((LN($A11)-データ!$G$8)/データ!$G$10,TRUE())+0.125*_xlfn.NORM.S.DIST((LN($A11)-データ!$G$9)/データ!$G$10,TRUE()))</f>
        <v>0.33111904917541674</v>
      </c>
    </row>
    <row r="12" spans="1:7" ht="18.75">
      <c r="A12" s="6">
        <v>70</v>
      </c>
      <c r="B12" s="12">
        <f>IF($A12&lt;=0,0,0.125*_xlfn.NORM.S.DIST((LN($A12)-データ!$B$5)/データ!$B$10,TRUE())+0.25*_xlfn.NORM.S.DIST((LN($A12)-データ!$B$6)/データ!$B$10,TRUE())+0.375*_xlfn.NORM.S.DIST((LN($A12)-データ!$B$7)/データ!$B$10,TRUE()))</f>
        <v>0.16249026207890546</v>
      </c>
      <c r="C12" s="12">
        <f>IF($A12&lt;=0,0,0.125*_xlfn.NORM.S.DIST((LN($A12)-データ!$C$5)/データ!$C$10,TRUE())+0.25*_xlfn.NORM.S.DIST((LN($A12)-データ!$C$6)/データ!$C$10,TRUE())+0.375*_xlfn.NORM.S.DIST((LN($A12)-データ!$C$7)/データ!$C$10,TRUE()))</f>
        <v>0.1626679233996137</v>
      </c>
      <c r="D12" s="12">
        <f>IF($A12&lt;=0,0,0.125*_xlfn.NORM.S.DIST((LN($A12)-データ!$D$5)/データ!$D$10,TRUE())+0.25*_xlfn.NORM.S.DIST((LN($A12)-データ!$D$6)/データ!$D$10,TRUE())+0.375*_xlfn.NORM.S.DIST((LN($A12)-データ!$D$7)/データ!$D$10,TRUE()))</f>
        <v>0.18854453781280966</v>
      </c>
      <c r="E12" s="12">
        <f>IF($A12&lt;=0,0,0.125*_xlfn.NORM.S.DIST((LN($A12)-データ!$E$5)/データ!$E$10,TRUE())+0.25*_xlfn.NORM.S.DIST((LN($A12)-データ!$E$6)/データ!$E$10,TRUE())+0.25*_xlfn.NORM.S.DIST((LN($A12)-データ!$E$7)/データ!$E$10,TRUE())+0.25*_xlfn.NORM.S.DIST((LN($A12)-データ!$E$8)/データ!$E$10,TRUE())+0.125*_xlfn.NORM.S.DIST((LN($A12)-データ!$E$9)/データ!$E$10,TRUE()))</f>
        <v>0.2483463259963419</v>
      </c>
      <c r="F12" s="12">
        <f>IF($A12&lt;=0,0,0.125*_xlfn.NORM.S.DIST((LN($A12)-データ!$F$5)/データ!$F$10,TRUE())+0.25*_xlfn.NORM.S.DIST((LN($A12)-データ!$F$6)/データ!$F$10,TRUE())+0.25*_xlfn.NORM.S.DIST((LN($A12)-データ!$F$7)/データ!$F$10,TRUE())+0.25*_xlfn.NORM.S.DIST((LN($A12)-データ!$F$8)/データ!$F$10,TRUE())+0.125*_xlfn.NORM.S.DIST((LN($A12)-データ!$F$9)/データ!$F$10,TRUE()))</f>
        <v>0.38880830802815014</v>
      </c>
      <c r="G12" s="12">
        <f>IF($A12&lt;=0,0,0.125*_xlfn.NORM.S.DIST((LN($A12)-データ!$G$5)/データ!$G$10,TRUE())+0.25*_xlfn.NORM.S.DIST((LN($A12)-データ!$G$6)/データ!$G$10,TRUE())+0.25*_xlfn.NORM.S.DIST((LN($A12)-データ!$G$7)/データ!$G$10,TRUE())+0.25*_xlfn.NORM.S.DIST((LN($A12)-データ!$G$8)/データ!$G$10,TRUE())+0.125*_xlfn.NORM.S.DIST((LN($A12)-データ!$G$9)/データ!$G$10,TRUE()))</f>
        <v>0.34653319746880079</v>
      </c>
    </row>
    <row r="13" spans="1:7" ht="18.75">
      <c r="A13" s="6">
        <v>80</v>
      </c>
      <c r="B13" s="12">
        <f>IF($A13&lt;=0,0,0.125*_xlfn.NORM.S.DIST((LN($A13)-データ!$B$5)/データ!$B$10,TRUE())+0.25*_xlfn.NORM.S.DIST((LN($A13)-データ!$B$6)/データ!$B$10,TRUE())+0.375*_xlfn.NORM.S.DIST((LN($A13)-データ!$B$7)/データ!$B$10,TRUE()))</f>
        <v>0.17939835989826258</v>
      </c>
      <c r="C13" s="12">
        <f>IF($A13&lt;=0,0,0.125*_xlfn.NORM.S.DIST((LN($A13)-データ!$C$5)/データ!$C$10,TRUE())+0.25*_xlfn.NORM.S.DIST((LN($A13)-データ!$C$6)/データ!$C$10,TRUE())+0.375*_xlfn.NORM.S.DIST((LN($A13)-データ!$C$7)/データ!$C$10,TRUE()))</f>
        <v>0.18064263647065645</v>
      </c>
      <c r="D13" s="12">
        <f>IF($A13&lt;=0,0,0.125*_xlfn.NORM.S.DIST((LN($A13)-データ!$D$5)/データ!$D$10,TRUE())+0.25*_xlfn.NORM.S.DIST((LN($A13)-データ!$D$6)/データ!$D$10,TRUE())+0.375*_xlfn.NORM.S.DIST((LN($A13)-データ!$D$7)/データ!$D$10,TRUE()))</f>
        <v>0.20886198019631155</v>
      </c>
      <c r="E13" s="12">
        <f>IF($A13&lt;=0,0,0.125*_xlfn.NORM.S.DIST((LN($A13)-データ!$E$5)/データ!$E$10,TRUE())+0.25*_xlfn.NORM.S.DIST((LN($A13)-データ!$E$6)/データ!$E$10,TRUE())+0.25*_xlfn.NORM.S.DIST((LN($A13)-データ!$E$7)/データ!$E$10,TRUE())+0.25*_xlfn.NORM.S.DIST((LN($A13)-データ!$E$8)/データ!$E$10,TRUE())+0.125*_xlfn.NORM.S.DIST((LN($A13)-データ!$E$9)/データ!$E$10,TRUE()))</f>
        <v>0.26875750614297539</v>
      </c>
      <c r="F13" s="12">
        <f>IF($A13&lt;=0,0,0.125*_xlfn.NORM.S.DIST((LN($A13)-データ!$F$5)/データ!$F$10,TRUE())+0.25*_xlfn.NORM.S.DIST((LN($A13)-データ!$F$6)/データ!$F$10,TRUE())+0.25*_xlfn.NORM.S.DIST((LN($A13)-データ!$F$7)/データ!$F$10,TRUE())+0.25*_xlfn.NORM.S.DIST((LN($A13)-データ!$F$8)/データ!$F$10,TRUE())+0.125*_xlfn.NORM.S.DIST((LN($A13)-データ!$F$9)/データ!$F$10,TRUE()))</f>
        <v>0.41508825020223716</v>
      </c>
      <c r="G13" s="12">
        <f>IF($A13&lt;=0,0,0.125*_xlfn.NORM.S.DIST((LN($A13)-データ!$G$5)/データ!$G$10,TRUE())+0.25*_xlfn.NORM.S.DIST((LN($A13)-データ!$G$6)/データ!$G$10,TRUE())+0.25*_xlfn.NORM.S.DIST((LN($A13)-データ!$G$7)/データ!$G$10,TRUE())+0.25*_xlfn.NORM.S.DIST((LN($A13)-データ!$G$8)/データ!$G$10,TRUE())+0.125*_xlfn.NORM.S.DIST((LN($A13)-データ!$G$9)/データ!$G$10,TRUE()))</f>
        <v>0.36022458040095118</v>
      </c>
    </row>
    <row r="14" spans="1:7" ht="18.75">
      <c r="A14" s="6">
        <v>90</v>
      </c>
      <c r="B14" s="12">
        <f>IF($A14&lt;=0,0,0.125*_xlfn.NORM.S.DIST((LN($A14)-データ!$B$5)/データ!$B$10,TRUE())+0.25*_xlfn.NORM.S.DIST((LN($A14)-データ!$B$6)/データ!$B$10,TRUE())+0.375*_xlfn.NORM.S.DIST((LN($A14)-データ!$B$7)/データ!$B$10,TRUE()))</f>
        <v>0.19580396212256776</v>
      </c>
      <c r="C14" s="12">
        <f>IF($A14&lt;=0,0,0.125*_xlfn.NORM.S.DIST((LN($A14)-データ!$C$5)/データ!$C$10,TRUE())+0.25*_xlfn.NORM.S.DIST((LN($A14)-データ!$C$6)/データ!$C$10,TRUE())+0.375*_xlfn.NORM.S.DIST((LN($A14)-データ!$C$7)/データ!$C$10,TRUE()))</f>
        <v>0.19744860976857789</v>
      </c>
      <c r="D14" s="12">
        <f>IF($A14&lt;=0,0,0.125*_xlfn.NORM.S.DIST((LN($A14)-データ!$D$5)/データ!$D$10,TRUE())+0.25*_xlfn.NORM.S.DIST((LN($A14)-データ!$D$6)/データ!$D$10,TRUE())+0.375*_xlfn.NORM.S.DIST((LN($A14)-データ!$D$7)/データ!$D$10,TRUE()))</f>
        <v>0.22924677709680027</v>
      </c>
      <c r="E14" s="12">
        <f>IF($A14&lt;=0,0,0.125*_xlfn.NORM.S.DIST((LN($A14)-データ!$E$5)/データ!$E$10,TRUE())+0.25*_xlfn.NORM.S.DIST((LN($A14)-データ!$E$6)/データ!$E$10,TRUE())+0.25*_xlfn.NORM.S.DIST((LN($A14)-データ!$E$7)/データ!$E$10,TRUE())+0.25*_xlfn.NORM.S.DIST((LN($A14)-データ!$E$8)/データ!$E$10,TRUE())+0.125*_xlfn.NORM.S.DIST((LN($A14)-データ!$E$9)/データ!$E$10,TRUE()))</f>
        <v>0.28790868585742735</v>
      </c>
      <c r="F14" s="12">
        <f>IF($A14&lt;=0,0,0.125*_xlfn.NORM.S.DIST((LN($A14)-データ!$F$5)/データ!$F$10,TRUE())+0.25*_xlfn.NORM.S.DIST((LN($A14)-データ!$F$6)/データ!$F$10,TRUE())+0.25*_xlfn.NORM.S.DIST((LN($A14)-データ!$F$7)/データ!$F$10,TRUE())+0.25*_xlfn.NORM.S.DIST((LN($A14)-データ!$F$8)/データ!$F$10,TRUE())+0.125*_xlfn.NORM.S.DIST((LN($A14)-データ!$F$9)/データ!$F$10,TRUE()))</f>
        <v>0.43881201552476018</v>
      </c>
      <c r="G14" s="12">
        <f>IF($A14&lt;=0,0,0.125*_xlfn.NORM.S.DIST((LN($A14)-データ!$G$5)/データ!$G$10,TRUE())+0.25*_xlfn.NORM.S.DIST((LN($A14)-データ!$G$6)/データ!$G$10,TRUE())+0.25*_xlfn.NORM.S.DIST((LN($A14)-データ!$G$7)/データ!$G$10,TRUE())+0.25*_xlfn.NORM.S.DIST((LN($A14)-データ!$G$8)/データ!$G$10,TRUE())+0.125*_xlfn.NORM.S.DIST((LN($A14)-データ!$G$9)/データ!$G$10,TRUE()))</f>
        <v>0.37255082478360962</v>
      </c>
    </row>
    <row r="15" spans="1:7" ht="18.75">
      <c r="A15" s="6">
        <v>100</v>
      </c>
      <c r="B15" s="12">
        <f>IF($A15&lt;=0,0,0.125*_xlfn.NORM.S.DIST((LN($A15)-データ!$B$5)/データ!$B$10,TRUE())+0.25*_xlfn.NORM.S.DIST((LN($A15)-データ!$B$6)/データ!$B$10,TRUE())+0.375*_xlfn.NORM.S.DIST((LN($A15)-データ!$B$7)/データ!$B$10,TRUE()))</f>
        <v>0.21176262350158881</v>
      </c>
      <c r="C15" s="12">
        <f>IF($A15&lt;=0,0,0.125*_xlfn.NORM.S.DIST((LN($A15)-データ!$C$5)/データ!$C$10,TRUE())+0.25*_xlfn.NORM.S.DIST((LN($A15)-データ!$C$6)/データ!$C$10,TRUE())+0.375*_xlfn.NORM.S.DIST((LN($A15)-データ!$C$7)/データ!$C$10,TRUE()))</f>
        <v>0.21323826046863179</v>
      </c>
      <c r="D15" s="12">
        <f>IF($A15&lt;=0,0,0.125*_xlfn.NORM.S.DIST((LN($A15)-データ!$D$5)/データ!$D$10,TRUE())+0.25*_xlfn.NORM.S.DIST((LN($A15)-データ!$D$6)/データ!$D$10,TRUE())+0.375*_xlfn.NORM.S.DIST((LN($A15)-データ!$D$7)/データ!$D$10,TRUE()))</f>
        <v>0.24949940234531234</v>
      </c>
      <c r="E15" s="12">
        <f>IF($A15&lt;=0,0,0.125*_xlfn.NORM.S.DIST((LN($A15)-データ!$E$5)/データ!$E$10,TRUE())+0.25*_xlfn.NORM.S.DIST((LN($A15)-データ!$E$6)/データ!$E$10,TRUE())+0.25*_xlfn.NORM.S.DIST((LN($A15)-データ!$E$7)/データ!$E$10,TRUE())+0.25*_xlfn.NORM.S.DIST((LN($A15)-データ!$E$8)/データ!$E$10,TRUE())+0.125*_xlfn.NORM.S.DIST((LN($A15)-データ!$E$9)/データ!$E$10,TRUE()))</f>
        <v>0.30594494097649783</v>
      </c>
      <c r="F15" s="12">
        <f>IF($A15&lt;=0,0,0.125*_xlfn.NORM.S.DIST((LN($A15)-データ!$F$5)/データ!$F$10,TRUE())+0.25*_xlfn.NORM.S.DIST((LN($A15)-データ!$F$6)/データ!$F$10,TRUE())+0.25*_xlfn.NORM.S.DIST((LN($A15)-データ!$F$7)/データ!$F$10,TRUE())+0.25*_xlfn.NORM.S.DIST((LN($A15)-データ!$F$8)/データ!$F$10,TRUE())+0.125*_xlfn.NORM.S.DIST((LN($A15)-データ!$F$9)/データ!$F$10,TRUE()))</f>
        <v>0.46039668853143062</v>
      </c>
      <c r="G15" s="12">
        <f>IF($A15&lt;=0,0,0.125*_xlfn.NORM.S.DIST((LN($A15)-データ!$G$5)/データ!$G$10,TRUE())+0.25*_xlfn.NORM.S.DIST((LN($A15)-データ!$G$6)/データ!$G$10,TRUE())+0.25*_xlfn.NORM.S.DIST((LN($A15)-データ!$G$7)/データ!$G$10,TRUE())+0.25*_xlfn.NORM.S.DIST((LN($A15)-データ!$G$8)/データ!$G$10,TRUE())+0.125*_xlfn.NORM.S.DIST((LN($A15)-データ!$G$9)/データ!$G$10,TRUE()))</f>
        <v>0.3837660755547283</v>
      </c>
    </row>
    <row r="16" spans="1:7" ht="18.75">
      <c r="A16" s="6">
        <v>110</v>
      </c>
      <c r="B16" s="12">
        <f>IF($A16&lt;=0,0,0.125*_xlfn.NORM.S.DIST((LN($A16)-データ!$B$5)/データ!$B$10,TRUE())+0.25*_xlfn.NORM.S.DIST((LN($A16)-データ!$B$6)/データ!$B$10,TRUE())+0.375*_xlfn.NORM.S.DIST((LN($A16)-データ!$B$7)/データ!$B$10,TRUE()))</f>
        <v>0.22729375309633745</v>
      </c>
      <c r="C16" s="12">
        <f>IF($A16&lt;=0,0,0.125*_xlfn.NORM.S.DIST((LN($A16)-データ!$C$5)/データ!$C$10,TRUE())+0.25*_xlfn.NORM.S.DIST((LN($A16)-データ!$C$6)/データ!$C$10,TRUE())+0.375*_xlfn.NORM.S.DIST((LN($A16)-データ!$C$7)/データ!$C$10,TRUE()))</f>
        <v>0.22813241251832472</v>
      </c>
      <c r="D16" s="12">
        <f>IF($A16&lt;=0,0,0.125*_xlfn.NORM.S.DIST((LN($A16)-データ!$D$5)/データ!$D$10,TRUE())+0.25*_xlfn.NORM.S.DIST((LN($A16)-データ!$D$6)/データ!$D$10,TRUE())+0.375*_xlfn.NORM.S.DIST((LN($A16)-データ!$D$7)/データ!$D$10,TRUE()))</f>
        <v>0.26944798711960505</v>
      </c>
      <c r="E16" s="12">
        <f>IF($A16&lt;=0,0,0.125*_xlfn.NORM.S.DIST((LN($A16)-データ!$E$5)/データ!$E$10,TRUE())+0.25*_xlfn.NORM.S.DIST((LN($A16)-データ!$E$6)/データ!$E$10,TRUE())+0.25*_xlfn.NORM.S.DIST((LN($A16)-データ!$E$7)/データ!$E$10,TRUE())+0.25*_xlfn.NORM.S.DIST((LN($A16)-データ!$E$8)/データ!$E$10,TRUE())+0.125*_xlfn.NORM.S.DIST((LN($A16)-データ!$E$9)/データ!$E$10,TRUE()))</f>
        <v>0.32298274753471895</v>
      </c>
      <c r="F16" s="12">
        <f>IF($A16&lt;=0,0,0.125*_xlfn.NORM.S.DIST((LN($A16)-データ!$F$5)/データ!$F$10,TRUE())+0.25*_xlfn.NORM.S.DIST((LN($A16)-データ!$F$6)/データ!$F$10,TRUE())+0.25*_xlfn.NORM.S.DIST((LN($A16)-データ!$F$7)/データ!$F$10,TRUE())+0.25*_xlfn.NORM.S.DIST((LN($A16)-データ!$F$8)/データ!$F$10,TRUE())+0.125*_xlfn.NORM.S.DIST((LN($A16)-データ!$F$9)/データ!$F$10,TRUE()))</f>
        <v>0.48016354247906284</v>
      </c>
      <c r="G16" s="12">
        <f>IF($A16&lt;=0,0,0.125*_xlfn.NORM.S.DIST((LN($A16)-データ!$G$5)/データ!$G$10,TRUE())+0.25*_xlfn.NORM.S.DIST((LN($A16)-データ!$G$6)/データ!$G$10,TRUE())+0.25*_xlfn.NORM.S.DIST((LN($A16)-データ!$G$7)/データ!$G$10,TRUE())+0.25*_xlfn.NORM.S.DIST((LN($A16)-データ!$G$8)/データ!$G$10,TRUE())+0.125*_xlfn.NORM.S.DIST((LN($A16)-データ!$G$9)/データ!$G$10,TRUE()))</f>
        <v>0.39405796749668981</v>
      </c>
    </row>
    <row r="17" spans="1:7" ht="18.75">
      <c r="A17" s="6">
        <v>120</v>
      </c>
      <c r="B17" s="12">
        <f>IF($A17&lt;=0,0,0.125*_xlfn.NORM.S.DIST((LN($A17)-データ!$B$5)/データ!$B$10,TRUE())+0.25*_xlfn.NORM.S.DIST((LN($A17)-データ!$B$6)/データ!$B$10,TRUE())+0.375*_xlfn.NORM.S.DIST((LN($A17)-データ!$B$7)/データ!$B$10,TRUE()))</f>
        <v>0.24240120128999726</v>
      </c>
      <c r="C17" s="12">
        <f>IF($A17&lt;=0,0,0.125*_xlfn.NORM.S.DIST((LN($A17)-データ!$C$5)/データ!$C$10,TRUE())+0.25*_xlfn.NORM.S.DIST((LN($A17)-データ!$C$6)/データ!$C$10,TRUE())+0.375*_xlfn.NORM.S.DIST((LN($A17)-データ!$C$7)/データ!$C$10,TRUE()))</f>
        <v>0.24222878061653871</v>
      </c>
      <c r="D17" s="12">
        <f>IF($A17&lt;=0,0,0.125*_xlfn.NORM.S.DIST((LN($A17)-データ!$D$5)/データ!$D$10,TRUE())+0.25*_xlfn.NORM.S.DIST((LN($A17)-データ!$D$6)/データ!$D$10,TRUE())+0.375*_xlfn.NORM.S.DIST((LN($A17)-データ!$D$7)/データ!$D$10,TRUE()))</f>
        <v>0.28895732861963574</v>
      </c>
      <c r="E17" s="12">
        <f>IF($A17&lt;=0,0,0.125*_xlfn.NORM.S.DIST((LN($A17)-データ!$E$5)/データ!$E$10,TRUE())+0.25*_xlfn.NORM.S.DIST((LN($A17)-データ!$E$6)/データ!$E$10,TRUE())+0.25*_xlfn.NORM.S.DIST((LN($A17)-データ!$E$7)/データ!$E$10,TRUE())+0.25*_xlfn.NORM.S.DIST((LN($A17)-データ!$E$8)/データ!$E$10,TRUE())+0.125*_xlfn.NORM.S.DIST((LN($A17)-データ!$E$9)/データ!$E$10,TRUE()))</f>
        <v>0.33911866963557563</v>
      </c>
      <c r="F17" s="12">
        <f>IF($A17&lt;=0,0,0.125*_xlfn.NORM.S.DIST((LN($A17)-データ!$F$5)/データ!$F$10,TRUE())+0.25*_xlfn.NORM.S.DIST((LN($A17)-データ!$F$6)/データ!$F$10,TRUE())+0.25*_xlfn.NORM.S.DIST((LN($A17)-データ!$F$7)/データ!$F$10,TRUE())+0.25*_xlfn.NORM.S.DIST((LN($A17)-データ!$F$8)/データ!$F$10,TRUE())+0.125*_xlfn.NORM.S.DIST((LN($A17)-データ!$F$9)/データ!$F$10,TRUE()))</f>
        <v>0.49836598066648141</v>
      </c>
      <c r="G17" s="12">
        <f>IF($A17&lt;=0,0,0.125*_xlfn.NORM.S.DIST((LN($A17)-データ!$G$5)/データ!$G$10,TRUE())+0.25*_xlfn.NORM.S.DIST((LN($A17)-データ!$G$6)/データ!$G$10,TRUE())+0.25*_xlfn.NORM.S.DIST((LN($A17)-データ!$G$7)/データ!$G$10,TRUE())+0.25*_xlfn.NORM.S.DIST((LN($A17)-データ!$G$8)/データ!$G$10,TRUE())+0.125*_xlfn.NORM.S.DIST((LN($A17)-データ!$G$9)/データ!$G$10,TRUE()))</f>
        <v>0.40356929196232749</v>
      </c>
    </row>
    <row r="18" spans="1:7" ht="18.75">
      <c r="A18" s="6">
        <v>130</v>
      </c>
      <c r="B18" s="12">
        <f>IF($A18&lt;=0,0,0.125*_xlfn.NORM.S.DIST((LN($A18)-データ!$B$5)/データ!$B$10,TRUE())+0.25*_xlfn.NORM.S.DIST((LN($A18)-データ!$B$6)/データ!$B$10,TRUE())+0.375*_xlfn.NORM.S.DIST((LN($A18)-データ!$B$7)/データ!$B$10,TRUE()))</f>
        <v>0.2570833529112424</v>
      </c>
      <c r="C18" s="12">
        <f>IF($A18&lt;=0,0,0.125*_xlfn.NORM.S.DIST((LN($A18)-データ!$C$5)/データ!$C$10,TRUE())+0.25*_xlfn.NORM.S.DIST((LN($A18)-データ!$C$6)/データ!$C$10,TRUE())+0.375*_xlfn.NORM.S.DIST((LN($A18)-データ!$C$7)/データ!$C$10,TRUE()))</f>
        <v>0.25560782867779763</v>
      </c>
      <c r="D18" s="12">
        <f>IF($A18&lt;=0,0,0.125*_xlfn.NORM.S.DIST((LN($A18)-データ!$D$5)/データ!$D$10,TRUE())+0.25*_xlfn.NORM.S.DIST((LN($A18)-データ!$D$6)/データ!$D$10,TRUE())+0.375*_xlfn.NORM.S.DIST((LN($A18)-データ!$D$7)/データ!$D$10,TRUE()))</f>
        <v>0.30792739667483227</v>
      </c>
      <c r="E18" s="12">
        <f>IF($A18&lt;=0,0,0.125*_xlfn.NORM.S.DIST((LN($A18)-データ!$E$5)/データ!$E$10,TRUE())+0.25*_xlfn.NORM.S.DIST((LN($A18)-データ!$E$6)/データ!$E$10,TRUE())+0.25*_xlfn.NORM.S.DIST((LN($A18)-データ!$E$7)/データ!$E$10,TRUE())+0.25*_xlfn.NORM.S.DIST((LN($A18)-データ!$E$8)/データ!$E$10,TRUE())+0.125*_xlfn.NORM.S.DIST((LN($A18)-データ!$E$9)/データ!$E$10,TRUE()))</f>
        <v>0.35443454890070131</v>
      </c>
      <c r="F18" s="12">
        <f>IF($A18&lt;=0,0,0.125*_xlfn.NORM.S.DIST((LN($A18)-データ!$F$5)/データ!$F$10,TRUE())+0.25*_xlfn.NORM.S.DIST((LN($A18)-データ!$F$6)/データ!$F$10,TRUE())+0.25*_xlfn.NORM.S.DIST((LN($A18)-データ!$F$7)/データ!$F$10,TRUE())+0.25*_xlfn.NORM.S.DIST((LN($A18)-データ!$F$8)/データ!$F$10,TRUE())+0.125*_xlfn.NORM.S.DIST((LN($A18)-データ!$F$9)/データ!$F$10,TRUE()))</f>
        <v>0.51520777691522601</v>
      </c>
      <c r="G18" s="12">
        <f>IF($A18&lt;=0,0,0.125*_xlfn.NORM.S.DIST((LN($A18)-データ!$G$5)/データ!$G$10,TRUE())+0.25*_xlfn.NORM.S.DIST((LN($A18)-データ!$G$6)/データ!$G$10,TRUE())+0.25*_xlfn.NORM.S.DIST((LN($A18)-データ!$G$7)/データ!$G$10,TRUE())+0.25*_xlfn.NORM.S.DIST((LN($A18)-データ!$G$8)/データ!$G$10,TRUE())+0.125*_xlfn.NORM.S.DIST((LN($A18)-データ!$G$9)/データ!$G$10,TRUE()))</f>
        <v>0.41241142619032956</v>
      </c>
    </row>
    <row r="19" spans="1:7" ht="18.75">
      <c r="A19" s="6">
        <v>140</v>
      </c>
      <c r="B19" s="12">
        <f>IF($A19&lt;=0,0,0.125*_xlfn.NORM.S.DIST((LN($A19)-データ!$B$5)/データ!$B$10,TRUE())+0.25*_xlfn.NORM.S.DIST((LN($A19)-データ!$B$6)/データ!$B$10,TRUE())+0.375*_xlfn.NORM.S.DIST((LN($A19)-データ!$B$7)/データ!$B$10,TRUE()))</f>
        <v>0.27133791241071398</v>
      </c>
      <c r="C19" s="12">
        <f>IF($A19&lt;=0,0,0.125*_xlfn.NORM.S.DIST((LN($A19)-データ!$C$5)/データ!$C$10,TRUE())+0.25*_xlfn.NORM.S.DIST((LN($A19)-データ!$C$6)/データ!$C$10,TRUE())+0.375*_xlfn.NORM.S.DIST((LN($A19)-データ!$C$7)/データ!$C$10,TRUE()))</f>
        <v>0.2683368745326849</v>
      </c>
      <c r="D19" s="12">
        <f>IF($A19&lt;=0,0,0.125*_xlfn.NORM.S.DIST((LN($A19)-データ!$D$5)/データ!$D$10,TRUE())+0.25*_xlfn.NORM.S.DIST((LN($A19)-データ!$D$6)/データ!$D$10,TRUE())+0.375*_xlfn.NORM.S.DIST((LN($A19)-データ!$D$7)/データ!$D$10,TRUE()))</f>
        <v>0.32628832775751776</v>
      </c>
      <c r="E19" s="12">
        <f>IF($A19&lt;=0,0,0.125*_xlfn.NORM.S.DIST((LN($A19)-データ!$E$5)/データ!$E$10,TRUE())+0.25*_xlfn.NORM.S.DIST((LN($A19)-データ!$E$6)/データ!$E$10,TRUE())+0.25*_xlfn.NORM.S.DIST((LN($A19)-データ!$E$7)/データ!$E$10,TRUE())+0.25*_xlfn.NORM.S.DIST((LN($A19)-データ!$E$8)/データ!$E$10,TRUE())+0.125*_xlfn.NORM.S.DIST((LN($A19)-データ!$E$9)/データ!$E$10,TRUE()))</f>
        <v>0.36900085173661828</v>
      </c>
      <c r="F19" s="12">
        <f>IF($A19&lt;=0,0,0.125*_xlfn.NORM.S.DIST((LN($A19)-データ!$F$5)/データ!$F$10,TRUE())+0.25*_xlfn.NORM.S.DIST((LN($A19)-データ!$F$6)/データ!$F$10,TRUE())+0.25*_xlfn.NORM.S.DIST((LN($A19)-データ!$F$7)/データ!$F$10,TRUE())+0.25*_xlfn.NORM.S.DIST((LN($A19)-データ!$F$8)/データ!$F$10,TRUE())+0.125*_xlfn.NORM.S.DIST((LN($A19)-データ!$F$9)/データ!$F$10,TRUE()))</f>
        <v>0.53085545951121094</v>
      </c>
      <c r="G19" s="12">
        <f>IF($A19&lt;=0,0,0.125*_xlfn.NORM.S.DIST((LN($A19)-データ!$G$5)/データ!$G$10,TRUE())+0.25*_xlfn.NORM.S.DIST((LN($A19)-データ!$G$6)/データ!$G$10,TRUE())+0.25*_xlfn.NORM.S.DIST((LN($A19)-データ!$G$7)/データ!$G$10,TRUE())+0.25*_xlfn.NORM.S.DIST((LN($A19)-データ!$G$8)/データ!$G$10,TRUE())+0.125*_xlfn.NORM.S.DIST((LN($A19)-データ!$G$9)/データ!$G$10,TRUE()))</f>
        <v>0.42067304081243084</v>
      </c>
    </row>
    <row r="20" spans="1:7" ht="18.75">
      <c r="A20" s="6">
        <v>150</v>
      </c>
      <c r="B20" s="12">
        <f>IF($A20&lt;=0,0,0.125*_xlfn.NORM.S.DIST((LN($A20)-データ!$B$5)/データ!$B$10,TRUE())+0.25*_xlfn.NORM.S.DIST((LN($A20)-データ!$B$6)/データ!$B$10,TRUE())+0.375*_xlfn.NORM.S.DIST((LN($A20)-データ!$B$7)/データ!$B$10,TRUE()))</f>
        <v>0.28516400215899262</v>
      </c>
      <c r="C20" s="12">
        <f>IF($A20&lt;=0,0,0.125*_xlfn.NORM.S.DIST((LN($A20)-データ!$C$5)/データ!$C$10,TRUE())+0.25*_xlfn.NORM.S.DIST((LN($A20)-データ!$C$6)/データ!$C$10,TRUE())+0.375*_xlfn.NORM.S.DIST((LN($A20)-データ!$C$7)/データ!$C$10,TRUE()))</f>
        <v>0.28047302097665799</v>
      </c>
      <c r="D20" s="12">
        <f>IF($A20&lt;=0,0,0.125*_xlfn.NORM.S.DIST((LN($A20)-データ!$D$5)/データ!$D$10,TRUE())+0.25*_xlfn.NORM.S.DIST((LN($A20)-データ!$D$6)/データ!$D$10,TRUE())+0.375*_xlfn.NORM.S.DIST((LN($A20)-データ!$D$7)/データ!$D$10,TRUE()))</f>
        <v>0.34399476120772865</v>
      </c>
      <c r="E20" s="12">
        <f>IF($A20&lt;=0,0,0.125*_xlfn.NORM.S.DIST((LN($A20)-データ!$E$5)/データ!$E$10,TRUE())+0.25*_xlfn.NORM.S.DIST((LN($A20)-データ!$E$6)/データ!$E$10,TRUE())+0.25*_xlfn.NORM.S.DIST((LN($A20)-データ!$E$7)/データ!$E$10,TRUE())+0.25*_xlfn.NORM.S.DIST((LN($A20)-データ!$E$8)/データ!$E$10,TRUE())+0.125*_xlfn.NORM.S.DIST((LN($A20)-データ!$E$9)/データ!$E$10,TRUE()))</f>
        <v>0.3828789681525761</v>
      </c>
      <c r="F20" s="12">
        <f>IF($A20&lt;=0,0,0.125*_xlfn.NORM.S.DIST((LN($A20)-データ!$F$5)/データ!$F$10,TRUE())+0.25*_xlfn.NORM.S.DIST((LN($A20)-データ!$F$6)/データ!$F$10,TRUE())+0.25*_xlfn.NORM.S.DIST((LN($A20)-データ!$F$7)/データ!$F$10,TRUE())+0.25*_xlfn.NORM.S.DIST((LN($A20)-データ!$F$8)/データ!$F$10,TRUE())+0.125*_xlfn.NORM.S.DIST((LN($A20)-データ!$F$9)/データ!$F$10,TRUE()))</f>
        <v>0.54544699352141568</v>
      </c>
      <c r="G20" s="12">
        <f>IF($A20&lt;=0,0,0.125*_xlfn.NORM.S.DIST((LN($A20)-データ!$G$5)/データ!$G$10,TRUE())+0.25*_xlfn.NORM.S.DIST((LN($A20)-データ!$G$6)/データ!$G$10,TRUE())+0.25*_xlfn.NORM.S.DIST((LN($A20)-データ!$G$7)/データ!$G$10,TRUE())+0.25*_xlfn.NORM.S.DIST((LN($A20)-データ!$G$8)/データ!$G$10,TRUE())+0.125*_xlfn.NORM.S.DIST((LN($A20)-データ!$G$9)/データ!$G$10,TRUE()))</f>
        <v>0.42842595920752902</v>
      </c>
    </row>
    <row r="21" spans="1:7" ht="18.75">
      <c r="A21" s="6">
        <v>160</v>
      </c>
      <c r="B21" s="12">
        <f>IF($A21&lt;=0,0,0.125*_xlfn.NORM.S.DIST((LN($A21)-データ!$B$5)/データ!$B$10,TRUE())+0.25*_xlfn.NORM.S.DIST((LN($A21)-データ!$B$6)/データ!$B$10,TRUE())+0.375*_xlfn.NORM.S.DIST((LN($A21)-データ!$B$7)/データ!$B$10,TRUE()))</f>
        <v>0.2985629141461722</v>
      </c>
      <c r="C21" s="12">
        <f>IF($A21&lt;=0,0,0.125*_xlfn.NORM.S.DIST((LN($A21)-データ!$C$5)/データ!$C$10,TRUE())+0.25*_xlfn.NORM.S.DIST((LN($A21)-データ!$C$6)/データ!$C$10,TRUE())+0.375*_xlfn.NORM.S.DIST((LN($A21)-データ!$C$7)/データ!$C$10,TRUE()))</f>
        <v>0.29206529079457111</v>
      </c>
      <c r="D21" s="12">
        <f>IF($A21&lt;=0,0,0.125*_xlfn.NORM.S.DIST((LN($A21)-データ!$D$5)/データ!$D$10,TRUE())+0.25*_xlfn.NORM.S.DIST((LN($A21)-データ!$D$6)/データ!$D$10,TRUE())+0.375*_xlfn.NORM.S.DIST((LN($A21)-データ!$D$7)/データ!$D$10,TRUE()))</f>
        <v>0.36102061289580456</v>
      </c>
      <c r="E21" s="12">
        <f>IF($A21&lt;=0,0,0.125*_xlfn.NORM.S.DIST((LN($A21)-データ!$E$5)/データ!$E$10,TRUE())+0.25*_xlfn.NORM.S.DIST((LN($A21)-データ!$E$6)/データ!$E$10,TRUE())+0.25*_xlfn.NORM.S.DIST((LN($A21)-データ!$E$7)/データ!$E$10,TRUE())+0.25*_xlfn.NORM.S.DIST((LN($A21)-データ!$E$8)/データ!$E$10,TRUE())+0.125*_xlfn.NORM.S.DIST((LN($A21)-データ!$E$9)/データ!$E$10,TRUE()))</f>
        <v>0.39612287151268549</v>
      </c>
      <c r="F21" s="12">
        <f>IF($A21&lt;=0,0,0.125*_xlfn.NORM.S.DIST((LN($A21)-データ!$F$5)/データ!$F$10,TRUE())+0.25*_xlfn.NORM.S.DIST((LN($A21)-データ!$F$6)/データ!$F$10,TRUE())+0.25*_xlfn.NORM.S.DIST((LN($A21)-データ!$F$7)/データ!$F$10,TRUE())+0.25*_xlfn.NORM.S.DIST((LN($A21)-データ!$F$8)/データ!$F$10,TRUE())+0.125*_xlfn.NORM.S.DIST((LN($A21)-データ!$F$9)/データ!$F$10,TRUE()))</f>
        <v>0.5590980335315785</v>
      </c>
      <c r="G21" s="12">
        <f>IF($A21&lt;=0,0,0.125*_xlfn.NORM.S.DIST((LN($A21)-データ!$G$5)/データ!$G$10,TRUE())+0.25*_xlfn.NORM.S.DIST((LN($A21)-データ!$G$6)/データ!$G$10,TRUE())+0.25*_xlfn.NORM.S.DIST((LN($A21)-データ!$G$7)/データ!$G$10,TRUE())+0.25*_xlfn.NORM.S.DIST((LN($A21)-データ!$G$8)/データ!$G$10,TRUE())+0.125*_xlfn.NORM.S.DIST((LN($A21)-データ!$G$9)/データ!$G$10,TRUE()))</f>
        <v>0.43572922489402754</v>
      </c>
    </row>
    <row r="22" spans="1:7" ht="18.75">
      <c r="A22" s="6">
        <v>170</v>
      </c>
      <c r="B22" s="12">
        <f>IF($A22&lt;=0,0,0.125*_xlfn.NORM.S.DIST((LN($A22)-データ!$B$5)/データ!$B$10,TRUE())+0.25*_xlfn.NORM.S.DIST((LN($A22)-データ!$B$6)/データ!$B$10,TRUE())+0.375*_xlfn.NORM.S.DIST((LN($A22)-データ!$B$7)/データ!$B$10,TRUE()))</f>
        <v>0.31153820611062732</v>
      </c>
      <c r="C22" s="12">
        <f>IF($A22&lt;=0,0,0.125*_xlfn.NORM.S.DIST((LN($A22)-データ!$C$5)/データ!$C$10,TRUE())+0.25*_xlfn.NORM.S.DIST((LN($A22)-データ!$C$6)/データ!$C$10,TRUE())+0.375*_xlfn.NORM.S.DIST((LN($A22)-データ!$C$7)/データ!$C$10,TRUE()))</f>
        <v>0.30315621227337425</v>
      </c>
      <c r="D22" s="12">
        <f>IF($A22&lt;=0,0,0.125*_xlfn.NORM.S.DIST((LN($A22)-データ!$D$5)/データ!$D$10,TRUE())+0.25*_xlfn.NORM.S.DIST((LN($A22)-データ!$D$6)/データ!$D$10,TRUE())+0.375*_xlfn.NORM.S.DIST((LN($A22)-データ!$D$7)/データ!$D$10,TRUE()))</f>
        <v>0.37735463212180603</v>
      </c>
      <c r="E22" s="12">
        <f>IF($A22&lt;=0,0,0.125*_xlfn.NORM.S.DIST((LN($A22)-データ!$E$5)/データ!$E$10,TRUE())+0.25*_xlfn.NORM.S.DIST((LN($A22)-データ!$E$6)/データ!$E$10,TRUE())+0.25*_xlfn.NORM.S.DIST((LN($A22)-データ!$E$7)/データ!$E$10,TRUE())+0.25*_xlfn.NORM.S.DIST((LN($A22)-データ!$E$8)/データ!$E$10,TRUE())+0.125*_xlfn.NORM.S.DIST((LN($A22)-データ!$E$9)/データ!$E$10,TRUE()))</f>
        <v>0.40878036486206543</v>
      </c>
      <c r="F22" s="12">
        <f>IF($A22&lt;=0,0,0.125*_xlfn.NORM.S.DIST((LN($A22)-データ!$F$5)/データ!$F$10,TRUE())+0.25*_xlfn.NORM.S.DIST((LN($A22)-データ!$F$6)/データ!$F$10,TRUE())+0.25*_xlfn.NORM.S.DIST((LN($A22)-データ!$F$7)/データ!$F$10,TRUE())+0.25*_xlfn.NORM.S.DIST((LN($A22)-データ!$F$8)/データ!$F$10,TRUE())+0.125*_xlfn.NORM.S.DIST((LN($A22)-データ!$F$9)/データ!$F$10,TRUE()))</f>
        <v>0.57190653048425144</v>
      </c>
      <c r="G22" s="12">
        <f>IF($A22&lt;=0,0,0.125*_xlfn.NORM.S.DIST((LN($A22)-データ!$G$5)/データ!$G$10,TRUE())+0.25*_xlfn.NORM.S.DIST((LN($A22)-データ!$G$6)/データ!$G$10,TRUE())+0.25*_xlfn.NORM.S.DIST((LN($A22)-データ!$G$7)/データ!$G$10,TRUE())+0.25*_xlfn.NORM.S.DIST((LN($A22)-データ!$G$8)/データ!$G$10,TRUE())+0.125*_xlfn.NORM.S.DIST((LN($A22)-データ!$G$9)/データ!$G$10,TRUE()))</f>
        <v>0.44263200074415732</v>
      </c>
    </row>
    <row r="23" spans="1:7" ht="18.75">
      <c r="A23" s="6">
        <v>180</v>
      </c>
      <c r="B23" s="12">
        <f>IF($A23&lt;=0,0,0.125*_xlfn.NORM.S.DIST((LN($A23)-データ!$B$5)/データ!$B$10,TRUE())+0.25*_xlfn.NORM.S.DIST((LN($A23)-データ!$B$6)/データ!$B$10,TRUE())+0.375*_xlfn.NORM.S.DIST((LN($A23)-データ!$B$7)/データ!$B$10,TRUE()))</f>
        <v>0.32409549901092444</v>
      </c>
      <c r="C23" s="12">
        <f>IF($A23&lt;=0,0,0.125*_xlfn.NORM.S.DIST((LN($A23)-データ!$C$5)/データ!$C$10,TRUE())+0.25*_xlfn.NORM.S.DIST((LN($A23)-データ!$C$6)/データ!$C$10,TRUE())+0.375*_xlfn.NORM.S.DIST((LN($A23)-データ!$C$7)/データ!$C$10,TRUE()))</f>
        <v>0.31378301816373383</v>
      </c>
      <c r="D23" s="12">
        <f>IF($A23&lt;=0,0,0.125*_xlfn.NORM.S.DIST((LN($A23)-データ!$D$5)/データ!$D$10,TRUE())+0.25*_xlfn.NORM.S.DIST((LN($A23)-データ!$D$6)/データ!$D$10,TRUE())+0.375*_xlfn.NORM.S.DIST((LN($A23)-データ!$D$7)/データ!$D$10,TRUE()))</f>
        <v>0.39299677730231136</v>
      </c>
      <c r="E23" s="12">
        <f>IF($A23&lt;=0,0,0.125*_xlfn.NORM.S.DIST((LN($A23)-データ!$E$5)/データ!$E$10,TRUE())+0.25*_xlfn.NORM.S.DIST((LN($A23)-データ!$E$6)/データ!$E$10,TRUE())+0.25*_xlfn.NORM.S.DIST((LN($A23)-データ!$E$7)/データ!$E$10,TRUE())+0.25*_xlfn.NORM.S.DIST((LN($A23)-データ!$E$8)/データ!$E$10,TRUE())+0.125*_xlfn.NORM.S.DIST((LN($A23)-データ!$E$9)/データ!$E$10,TRUE()))</f>
        <v>0.42089404590550256</v>
      </c>
      <c r="F23" s="12">
        <f>IF($A23&lt;=0,0,0.125*_xlfn.NORM.S.DIST((LN($A23)-データ!$F$5)/データ!$F$10,TRUE())+0.25*_xlfn.NORM.S.DIST((LN($A23)-データ!$F$6)/データ!$F$10,TRUE())+0.25*_xlfn.NORM.S.DIST((LN($A23)-データ!$F$7)/データ!$F$10,TRUE())+0.25*_xlfn.NORM.S.DIST((LN($A23)-データ!$F$8)/データ!$F$10,TRUE())+0.125*_xlfn.NORM.S.DIST((LN($A23)-データ!$F$9)/データ!$F$10,TRUE()))</f>
        <v>0.5839561930982774</v>
      </c>
      <c r="G23" s="12">
        <f>IF($A23&lt;=0,0,0.125*_xlfn.NORM.S.DIST((LN($A23)-データ!$G$5)/データ!$G$10,TRUE())+0.25*_xlfn.NORM.S.DIST((LN($A23)-データ!$G$6)/データ!$G$10,TRUE())+0.25*_xlfn.NORM.S.DIST((LN($A23)-データ!$G$7)/データ!$G$10,TRUE())+0.25*_xlfn.NORM.S.DIST((LN($A23)-データ!$G$8)/データ!$G$10,TRUE())+0.125*_xlfn.NORM.S.DIST((LN($A23)-データ!$G$9)/データ!$G$10,TRUE()))</f>
        <v>0.44917568322249263</v>
      </c>
    </row>
    <row r="24" spans="1:7" ht="18.75">
      <c r="A24" s="6">
        <v>190</v>
      </c>
      <c r="B24" s="12">
        <f>IF($A24&lt;=0,0,0.125*_xlfn.NORM.S.DIST((LN($A24)-データ!$B$5)/データ!$B$10,TRUE())+0.25*_xlfn.NORM.S.DIST((LN($A24)-データ!$B$6)/データ!$B$10,TRUE())+0.375*_xlfn.NORM.S.DIST((LN($A24)-データ!$B$7)/データ!$B$10,TRUE()))</f>
        <v>0.3362421586728519</v>
      </c>
      <c r="C24" s="12">
        <f>IF($A24&lt;=0,0,0.125*_xlfn.NORM.S.DIST((LN($A24)-データ!$C$5)/データ!$C$10,TRUE())+0.25*_xlfn.NORM.S.DIST((LN($A24)-データ!$C$6)/データ!$C$10,TRUE())+0.375*_xlfn.NORM.S.DIST((LN($A24)-データ!$C$7)/データ!$C$10,TRUE()))</f>
        <v>0.32397856760943489</v>
      </c>
      <c r="D24" s="12">
        <f>IF($A24&lt;=0,0,0.125*_xlfn.NORM.S.DIST((LN($A24)-データ!$D$5)/データ!$D$10,TRUE())+0.25*_xlfn.NORM.S.DIST((LN($A24)-データ!$D$6)/データ!$D$10,TRUE())+0.375*_xlfn.NORM.S.DIST((LN($A24)-データ!$D$7)/データ!$D$10,TRUE()))</f>
        <v>0.40795532834079251</v>
      </c>
      <c r="E24" s="12">
        <f>IF($A24&lt;=0,0,0.125*_xlfn.NORM.S.DIST((LN($A24)-データ!$E$5)/データ!$E$10,TRUE())+0.25*_xlfn.NORM.S.DIST((LN($A24)-データ!$E$6)/データ!$E$10,TRUE())+0.25*_xlfn.NORM.S.DIST((LN($A24)-データ!$E$7)/データ!$E$10,TRUE())+0.25*_xlfn.NORM.S.DIST((LN($A24)-データ!$E$8)/データ!$E$10,TRUE())+0.125*_xlfn.NORM.S.DIST((LN($A24)-データ!$E$9)/データ!$E$10,TRUE()))</f>
        <v>0.43250207225374887</v>
      </c>
      <c r="F24" s="12">
        <f>IF($A24&lt;=0,0,0.125*_xlfn.NORM.S.DIST((LN($A24)-データ!$F$5)/データ!$F$10,TRUE())+0.25*_xlfn.NORM.S.DIST((LN($A24)-データ!$F$6)/データ!$F$10,TRUE())+0.25*_xlfn.NORM.S.DIST((LN($A24)-データ!$F$7)/データ!$F$10,TRUE())+0.25*_xlfn.NORM.S.DIST((LN($A24)-データ!$F$8)/データ!$F$10,TRUE())+0.125*_xlfn.NORM.S.DIST((LN($A24)-データ!$F$9)/データ!$F$10,TRUE()))</f>
        <v>0.59531913345202914</v>
      </c>
      <c r="G24" s="12">
        <f>IF($A24&lt;=0,0,0.125*_xlfn.NORM.S.DIST((LN($A24)-データ!$G$5)/データ!$G$10,TRUE())+0.25*_xlfn.NORM.S.DIST((LN($A24)-データ!$G$6)/データ!$G$10,TRUE())+0.25*_xlfn.NORM.S.DIST((LN($A24)-データ!$G$7)/データ!$G$10,TRUE())+0.25*_xlfn.NORM.S.DIST((LN($A24)-データ!$G$8)/データ!$G$10,TRUE())+0.125*_xlfn.NORM.S.DIST((LN($A24)-データ!$G$9)/データ!$G$10,TRUE()))</f>
        <v>0.4553954751374939</v>
      </c>
    </row>
    <row r="25" spans="1:7" ht="18.75">
      <c r="A25" s="6">
        <v>200</v>
      </c>
      <c r="B25" s="12">
        <f>IF($A25&lt;=0,0,0.125*_xlfn.NORM.S.DIST((LN($A25)-データ!$B$5)/データ!$B$10,TRUE())+0.25*_xlfn.NORM.S.DIST((LN($A25)-データ!$B$6)/データ!$B$10,TRUE())+0.375*_xlfn.NORM.S.DIST((LN($A25)-データ!$B$7)/データ!$B$10,TRUE()))</f>
        <v>0.34798695301642868</v>
      </c>
      <c r="C25" s="12">
        <f>IF($A25&lt;=0,0,0.125*_xlfn.NORM.S.DIST((LN($A25)-データ!$C$5)/データ!$C$10,TRUE())+0.25*_xlfn.NORM.S.DIST((LN($A25)-データ!$C$6)/データ!$C$10,TRUE())+0.375*_xlfn.NORM.S.DIST((LN($A25)-データ!$C$7)/データ!$C$10,TRUE()))</f>
        <v>0.33377206596765935</v>
      </c>
      <c r="D25" s="12">
        <f>IF($A25&lt;=0,0,0.125*_xlfn.NORM.S.DIST((LN($A25)-データ!$D$5)/データ!$D$10,TRUE())+0.25*_xlfn.NORM.S.DIST((LN($A25)-データ!$D$6)/データ!$D$10,TRUE())+0.375*_xlfn.NORM.S.DIST((LN($A25)-データ!$D$7)/データ!$D$10,TRUE()))</f>
        <v>0.42224461950370945</v>
      </c>
      <c r="E25" s="12">
        <f>IF($A25&lt;=0,0,0.125*_xlfn.NORM.S.DIST((LN($A25)-データ!$E$5)/データ!$E$10,TRUE())+0.25*_xlfn.NORM.S.DIST((LN($A25)-データ!$E$6)/データ!$E$10,TRUE())+0.25*_xlfn.NORM.S.DIST((LN($A25)-データ!$E$7)/データ!$E$10,TRUE())+0.25*_xlfn.NORM.S.DIST((LN($A25)-データ!$E$8)/データ!$E$10,TRUE())+0.125*_xlfn.NORM.S.DIST((LN($A25)-データ!$E$9)/データ!$E$10,TRUE()))</f>
        <v>0.44363877985581923</v>
      </c>
      <c r="F25" s="12">
        <f>IF($A25&lt;=0,0,0.125*_xlfn.NORM.S.DIST((LN($A25)-データ!$F$5)/データ!$F$10,TRUE())+0.25*_xlfn.NORM.S.DIST((LN($A25)-データ!$F$6)/データ!$F$10,TRUE())+0.25*_xlfn.NORM.S.DIST((LN($A25)-データ!$F$7)/データ!$F$10,TRUE())+0.25*_xlfn.NORM.S.DIST((LN($A25)-データ!$F$8)/データ!$F$10,TRUE())+0.125*_xlfn.NORM.S.DIST((LN($A25)-データ!$F$9)/データ!$F$10,TRUE()))</f>
        <v>0.60605791960348288</v>
      </c>
      <c r="G25" s="12">
        <f>IF($A25&lt;=0,0,0.125*_xlfn.NORM.S.DIST((LN($A25)-データ!$G$5)/データ!$G$10,TRUE())+0.25*_xlfn.NORM.S.DIST((LN($A25)-データ!$G$6)/データ!$G$10,TRUE())+0.25*_xlfn.NORM.S.DIST((LN($A25)-データ!$G$7)/データ!$G$10,TRUE())+0.25*_xlfn.NORM.S.DIST((LN($A25)-データ!$G$8)/データ!$G$10,TRUE())+0.125*_xlfn.NORM.S.DIST((LN($A25)-データ!$G$9)/データ!$G$10,TRUE()))</f>
        <v>0.46132157621510494</v>
      </c>
    </row>
    <row r="26" spans="1:7" ht="18.75">
      <c r="A26" s="6">
        <v>210</v>
      </c>
      <c r="B26" s="12">
        <f>IF($A26&lt;=0,0,0.125*_xlfn.NORM.S.DIST((LN($A26)-データ!$B$5)/データ!$B$10,TRUE())+0.25*_xlfn.NORM.S.DIST((LN($A26)-データ!$B$6)/データ!$B$10,TRUE())+0.375*_xlfn.NORM.S.DIST((LN($A26)-データ!$B$7)/データ!$B$10,TRUE()))</f>
        <v>0.35933972816307214</v>
      </c>
      <c r="C26" s="12">
        <f>IF($A26&lt;=0,0,0.125*_xlfn.NORM.S.DIST((LN($A26)-データ!$C$5)/データ!$C$10,TRUE())+0.25*_xlfn.NORM.S.DIST((LN($A26)-データ!$C$6)/データ!$C$10,TRUE())+0.375*_xlfn.NORM.S.DIST((LN($A26)-データ!$C$7)/データ!$C$10,TRUE()))</f>
        <v>0.34318963469737462</v>
      </c>
      <c r="D26" s="12">
        <f>IF($A26&lt;=0,0,0.125*_xlfn.NORM.S.DIST((LN($A26)-データ!$D$5)/データ!$D$10,TRUE())+0.25*_xlfn.NORM.S.DIST((LN($A26)-データ!$D$6)/データ!$D$10,TRUE())+0.375*_xlfn.NORM.S.DIST((LN($A26)-データ!$D$7)/データ!$D$10,TRUE()))</f>
        <v>0.43588327729886545</v>
      </c>
      <c r="E26" s="12">
        <f>IF($A26&lt;=0,0,0.125*_xlfn.NORM.S.DIST((LN($A26)-データ!$E$5)/データ!$E$10,TRUE())+0.25*_xlfn.NORM.S.DIST((LN($A26)-データ!$E$6)/データ!$E$10,TRUE())+0.25*_xlfn.NORM.S.DIST((LN($A26)-データ!$E$7)/データ!$E$10,TRUE())+0.25*_xlfn.NORM.S.DIST((LN($A26)-データ!$E$8)/データ!$E$10,TRUE())+0.125*_xlfn.NORM.S.DIST((LN($A26)-データ!$E$9)/データ!$E$10,TRUE()))</f>
        <v>0.45433519040393167</v>
      </c>
      <c r="F26" s="12">
        <f>IF($A26&lt;=0,0,0.125*_xlfn.NORM.S.DIST((LN($A26)-データ!$F$5)/データ!$F$10,TRUE())+0.25*_xlfn.NORM.S.DIST((LN($A26)-データ!$F$6)/データ!$F$10,TRUE())+0.25*_xlfn.NORM.S.DIST((LN($A26)-データ!$F$7)/データ!$F$10,TRUE())+0.25*_xlfn.NORM.S.DIST((LN($A26)-データ!$F$8)/データ!$F$10,TRUE())+0.125*_xlfn.NORM.S.DIST((LN($A26)-データ!$F$9)/データ!$F$10,TRUE()))</f>
        <v>0.61622718949217226</v>
      </c>
      <c r="G26" s="12">
        <f>IF($A26&lt;=0,0,0.125*_xlfn.NORM.S.DIST((LN($A26)-データ!$G$5)/データ!$G$10,TRUE())+0.25*_xlfn.NORM.S.DIST((LN($A26)-データ!$G$6)/データ!$G$10,TRUE())+0.25*_xlfn.NORM.S.DIST((LN($A26)-データ!$G$7)/データ!$G$10,TRUE())+0.25*_xlfn.NORM.S.DIST((LN($A26)-データ!$G$8)/データ!$G$10,TRUE())+0.125*_xlfn.NORM.S.DIST((LN($A26)-データ!$G$9)/データ!$G$10,TRUE()))</f>
        <v>0.46698009843316074</v>
      </c>
    </row>
    <row r="27" spans="1:7" ht="18.75">
      <c r="A27" s="6">
        <v>220</v>
      </c>
      <c r="B27" s="12">
        <f>IF($A27&lt;=0,0,0.125*_xlfn.NORM.S.DIST((LN($A27)-データ!$B$5)/データ!$B$10,TRUE())+0.25*_xlfn.NORM.S.DIST((LN($A27)-データ!$B$6)/データ!$B$10,TRUE())+0.375*_xlfn.NORM.S.DIST((LN($A27)-データ!$B$7)/データ!$B$10,TRUE()))</f>
        <v>0.3703111215856616</v>
      </c>
      <c r="C27" s="12">
        <f>IF($A27&lt;=0,0,0.125*_xlfn.NORM.S.DIST((LN($A27)-データ!$C$5)/データ!$C$10,TRUE())+0.25*_xlfn.NORM.S.DIST((LN($A27)-データ!$C$6)/データ!$C$10,TRUE())+0.375*_xlfn.NORM.S.DIST((LN($A27)-データ!$C$7)/データ!$C$10,TRUE()))</f>
        <v>0.35225476828475016</v>
      </c>
      <c r="D27" s="12">
        <f>IF($A27&lt;=0,0,0.125*_xlfn.NORM.S.DIST((LN($A27)-データ!$D$5)/データ!$D$10,TRUE())+0.25*_xlfn.NORM.S.DIST((LN($A27)-データ!$D$6)/データ!$D$10,TRUE())+0.375*_xlfn.NORM.S.DIST((LN($A27)-データ!$D$7)/データ!$D$10,TRUE()))</f>
        <v>0.44889286140734441</v>
      </c>
      <c r="E27" s="12">
        <f>IF($A27&lt;=0,0,0.125*_xlfn.NORM.S.DIST((LN($A27)-データ!$E$5)/データ!$E$10,TRUE())+0.25*_xlfn.NORM.S.DIST((LN($A27)-データ!$E$6)/データ!$E$10,TRUE())+0.25*_xlfn.NORM.S.DIST((LN($A27)-データ!$E$7)/データ!$E$10,TRUE())+0.25*_xlfn.NORM.S.DIST((LN($A27)-データ!$E$8)/データ!$E$10,TRUE())+0.125*_xlfn.NORM.S.DIST((LN($A27)-データ!$E$9)/データ!$E$10,TRUE()))</f>
        <v>0.46461943280615947</v>
      </c>
      <c r="F27" s="12">
        <f>IF($A27&lt;=0,0,0.125*_xlfn.NORM.S.DIST((LN($A27)-データ!$F$5)/データ!$F$10,TRUE())+0.25*_xlfn.NORM.S.DIST((LN($A27)-データ!$F$6)/データ!$F$10,TRUE())+0.25*_xlfn.NORM.S.DIST((LN($A27)-データ!$F$7)/データ!$F$10,TRUE())+0.25*_xlfn.NORM.S.DIST((LN($A27)-データ!$F$8)/データ!$F$10,TRUE())+0.125*_xlfn.NORM.S.DIST((LN($A27)-データ!$F$9)/データ!$F$10,TRUE()))</f>
        <v>0.62587493507447045</v>
      </c>
      <c r="G27" s="12">
        <f>IF($A27&lt;=0,0,0.125*_xlfn.NORM.S.DIST((LN($A27)-データ!$G$5)/データ!$G$10,TRUE())+0.25*_xlfn.NORM.S.DIST((LN($A27)-データ!$G$6)/データ!$G$10,TRUE())+0.25*_xlfn.NORM.S.DIST((LN($A27)-データ!$G$7)/データ!$G$10,TRUE())+0.25*_xlfn.NORM.S.DIST((LN($A27)-データ!$G$8)/データ!$G$10,TRUE())+0.125*_xlfn.NORM.S.DIST((LN($A27)-データ!$G$9)/データ!$G$10,TRUE()))</f>
        <v>0.47239377954547807</v>
      </c>
    </row>
    <row r="28" spans="1:7" ht="18.75">
      <c r="A28" s="6">
        <v>230</v>
      </c>
      <c r="B28" s="12">
        <f>IF($A28&lt;=0,0,0.125*_xlfn.NORM.S.DIST((LN($A28)-データ!$B$5)/データ!$B$10,TRUE())+0.25*_xlfn.NORM.S.DIST((LN($A28)-データ!$B$6)/データ!$B$10,TRUE())+0.375*_xlfn.NORM.S.DIST((LN($A28)-データ!$B$7)/データ!$B$10,TRUE()))</f>
        <v>0.38091231759043181</v>
      </c>
      <c r="C28" s="12">
        <f>IF($A28&lt;=0,0,0.125*_xlfn.NORM.S.DIST((LN($A28)-データ!$C$5)/データ!$C$10,TRUE())+0.25*_xlfn.NORM.S.DIST((LN($A28)-データ!$C$6)/データ!$C$10,TRUE())+0.375*_xlfn.NORM.S.DIST((LN($A28)-データ!$C$7)/データ!$C$10,TRUE()))</f>
        <v>0.36098870483172429</v>
      </c>
      <c r="D28" s="12">
        <f>IF($A28&lt;=0,0,0.125*_xlfn.NORM.S.DIST((LN($A28)-データ!$D$5)/データ!$D$10,TRUE())+0.25*_xlfn.NORM.S.DIST((LN($A28)-データ!$D$6)/データ!$D$10,TRUE())+0.375*_xlfn.NORM.S.DIST((LN($A28)-データ!$D$7)/データ!$D$10,TRUE()))</f>
        <v>0.46129682356019192</v>
      </c>
      <c r="E28" s="12">
        <f>IF($A28&lt;=0,0,0.125*_xlfn.NORM.S.DIST((LN($A28)-データ!$E$5)/データ!$E$10,TRUE())+0.25*_xlfn.NORM.S.DIST((LN($A28)-データ!$E$6)/データ!$E$10,TRUE())+0.25*_xlfn.NORM.S.DIST((LN($A28)-データ!$E$7)/データ!$E$10,TRUE())+0.25*_xlfn.NORM.S.DIST((LN($A28)-データ!$E$8)/データ!$E$10,TRUE())+0.125*_xlfn.NORM.S.DIST((LN($A28)-データ!$E$9)/データ!$E$10,TRUE()))</f>
        <v>0.47451709687657873</v>
      </c>
      <c r="F28" s="12">
        <f>IF($A28&lt;=0,0,0.125*_xlfn.NORM.S.DIST((LN($A28)-データ!$F$5)/データ!$F$10,TRUE())+0.25*_xlfn.NORM.S.DIST((LN($A28)-データ!$F$6)/データ!$F$10,TRUE())+0.25*_xlfn.NORM.S.DIST((LN($A28)-データ!$F$7)/データ!$F$10,TRUE())+0.25*_xlfn.NORM.S.DIST((LN($A28)-データ!$F$8)/データ!$F$10,TRUE())+0.125*_xlfn.NORM.S.DIST((LN($A28)-データ!$F$9)/データ!$F$10,TRUE()))</f>
        <v>0.63504353505965516</v>
      </c>
      <c r="G28" s="12">
        <f>IF($A28&lt;=0,0,0.125*_xlfn.NORM.S.DIST((LN($A28)-データ!$G$5)/データ!$G$10,TRUE())+0.25*_xlfn.NORM.S.DIST((LN($A28)-データ!$G$6)/データ!$G$10,TRUE())+0.25*_xlfn.NORM.S.DIST((LN($A28)-データ!$G$7)/データ!$G$10,TRUE())+0.25*_xlfn.NORM.S.DIST((LN($A28)-データ!$G$8)/データ!$G$10,TRUE())+0.125*_xlfn.NORM.S.DIST((LN($A28)-データ!$G$9)/データ!$G$10,TRUE()))</f>
        <v>0.47758254624218133</v>
      </c>
    </row>
    <row r="29" spans="1:7" ht="18.75">
      <c r="A29" s="6">
        <v>240</v>
      </c>
      <c r="B29" s="12">
        <f>IF($A29&lt;=0,0,0.125*_xlfn.NORM.S.DIST((LN($A29)-データ!$B$5)/データ!$B$10,TRUE())+0.25*_xlfn.NORM.S.DIST((LN($A29)-データ!$B$6)/データ!$B$10,TRUE())+0.375*_xlfn.NORM.S.DIST((LN($A29)-データ!$B$7)/データ!$B$10,TRUE()))</f>
        <v>0.39115484410544077</v>
      </c>
      <c r="C29" s="12">
        <f>IF($A29&lt;=0,0,0.125*_xlfn.NORM.S.DIST((LN($A29)-データ!$C$5)/データ!$C$10,TRUE())+0.25*_xlfn.NORM.S.DIST((LN($A29)-データ!$C$6)/データ!$C$10,TRUE())+0.375*_xlfn.NORM.S.DIST((LN($A29)-データ!$C$7)/データ!$C$10,TRUE()))</f>
        <v>0.36941072978219075</v>
      </c>
      <c r="D29" s="12">
        <f>IF($A29&lt;=0,0,0.125*_xlfn.NORM.S.DIST((LN($A29)-データ!$D$5)/データ!$D$10,TRUE())+0.25*_xlfn.NORM.S.DIST((LN($A29)-データ!$D$6)/データ!$D$10,TRUE())+0.375*_xlfn.NORM.S.DIST((LN($A29)-データ!$D$7)/データ!$D$10,TRUE()))</f>
        <v>0.47311971539903819</v>
      </c>
      <c r="E29" s="12">
        <f>IF($A29&lt;=0,0,0.125*_xlfn.NORM.S.DIST((LN($A29)-データ!$E$5)/データ!$E$10,TRUE())+0.25*_xlfn.NORM.S.DIST((LN($A29)-データ!$E$6)/データ!$E$10,TRUE())+0.25*_xlfn.NORM.S.DIST((LN($A29)-データ!$E$7)/データ!$E$10,TRUE())+0.25*_xlfn.NORM.S.DIST((LN($A29)-データ!$E$8)/データ!$E$10,TRUE())+0.125*_xlfn.NORM.S.DIST((LN($A29)-データ!$E$9)/データ!$E$10,TRUE()))</f>
        <v>0.48405153271668006</v>
      </c>
      <c r="F29" s="12">
        <f>IF($A29&lt;=0,0,0.125*_xlfn.NORM.S.DIST((LN($A29)-データ!$F$5)/データ!$F$10,TRUE())+0.25*_xlfn.NORM.S.DIST((LN($A29)-データ!$F$6)/データ!$F$10,TRUE())+0.25*_xlfn.NORM.S.DIST((LN($A29)-データ!$F$7)/データ!$F$10,TRUE())+0.25*_xlfn.NORM.S.DIST((LN($A29)-データ!$F$8)/データ!$F$10,TRUE())+0.125*_xlfn.NORM.S.DIST((LN($A29)-データ!$F$9)/データ!$F$10,TRUE()))</f>
        <v>0.643770593538455</v>
      </c>
      <c r="G29" s="12">
        <f>IF($A29&lt;=0,0,0.125*_xlfn.NORM.S.DIST((LN($A29)-データ!$G$5)/データ!$G$10,TRUE())+0.25*_xlfn.NORM.S.DIST((LN($A29)-データ!$G$6)/データ!$G$10,TRUE())+0.25*_xlfn.NORM.S.DIST((LN($A29)-データ!$G$7)/データ!$G$10,TRUE())+0.25*_xlfn.NORM.S.DIST((LN($A29)-データ!$G$8)/データ!$G$10,TRUE())+0.125*_xlfn.NORM.S.DIST((LN($A29)-データ!$G$9)/データ!$G$10,TRUE()))</f>
        <v>0.48256396364866116</v>
      </c>
    </row>
    <row r="30" spans="1:7" ht="18.75">
      <c r="A30" s="6">
        <v>250</v>
      </c>
      <c r="B30" s="12">
        <f>IF($A30&lt;=0,0,0.125*_xlfn.NORM.S.DIST((LN($A30)-データ!$B$5)/データ!$B$10,TRUE())+0.25*_xlfn.NORM.S.DIST((LN($A30)-データ!$B$6)/データ!$B$10,TRUE())+0.375*_xlfn.NORM.S.DIST((LN($A30)-データ!$B$7)/データ!$B$10,TRUE()))</f>
        <v>0.40105040692495231</v>
      </c>
      <c r="C30" s="12">
        <f>IF($A30&lt;=0,0,0.125*_xlfn.NORM.S.DIST((LN($A30)-データ!$C$5)/データ!$C$10,TRUE())+0.25*_xlfn.NORM.S.DIST((LN($A30)-データ!$C$6)/データ!$C$10,TRUE())+0.375*_xlfn.NORM.S.DIST((LN($A30)-データ!$C$7)/データ!$C$10,TRUE()))</f>
        <v>0.37753842723578668</v>
      </c>
      <c r="D30" s="12">
        <f>IF($A30&lt;=0,0,0.125*_xlfn.NORM.S.DIST((LN($A30)-データ!$D$5)/データ!$D$10,TRUE())+0.25*_xlfn.NORM.S.DIST((LN($A30)-データ!$D$6)/データ!$D$10,TRUE())+0.375*_xlfn.NORM.S.DIST((LN($A30)-データ!$D$7)/データ!$D$10,TRUE()))</f>
        <v>0.48438659039148108</v>
      </c>
      <c r="E30" s="12">
        <f>IF($A30&lt;=0,0,0.125*_xlfn.NORM.S.DIST((LN($A30)-データ!$E$5)/データ!$E$10,TRUE())+0.25*_xlfn.NORM.S.DIST((LN($A30)-データ!$E$6)/データ!$E$10,TRUE())+0.25*_xlfn.NORM.S.DIST((LN($A30)-データ!$E$7)/データ!$E$10,TRUE())+0.25*_xlfn.NORM.S.DIST((LN($A30)-データ!$E$8)/データ!$E$10,TRUE())+0.125*_xlfn.NORM.S.DIST((LN($A30)-データ!$E$9)/データ!$E$10,TRUE()))</f>
        <v>0.49324410601271046</v>
      </c>
      <c r="F30" s="12">
        <f>IF($A30&lt;=0,0,0.125*_xlfn.NORM.S.DIST((LN($A30)-データ!$F$5)/データ!$F$10,TRUE())+0.25*_xlfn.NORM.S.DIST((LN($A30)-データ!$F$6)/データ!$F$10,TRUE())+0.25*_xlfn.NORM.S.DIST((LN($A30)-データ!$F$7)/データ!$F$10,TRUE())+0.25*_xlfn.NORM.S.DIST((LN($A30)-データ!$F$8)/データ!$F$10,TRUE())+0.125*_xlfn.NORM.S.DIST((LN($A30)-データ!$F$9)/データ!$F$10,TRUE()))</f>
        <v>0.65208962700518469</v>
      </c>
      <c r="G30" s="12">
        <f>IF($A30&lt;=0,0,0.125*_xlfn.NORM.S.DIST((LN($A30)-データ!$G$5)/データ!$G$10,TRUE())+0.25*_xlfn.NORM.S.DIST((LN($A30)-データ!$G$6)/データ!$G$10,TRUE())+0.25*_xlfn.NORM.S.DIST((LN($A30)-データ!$G$7)/データ!$G$10,TRUE())+0.25*_xlfn.NORM.S.DIST((LN($A30)-データ!$G$8)/データ!$G$10,TRUE())+0.125*_xlfn.NORM.S.DIST((LN($A30)-データ!$G$9)/データ!$G$10,TRUE()))</f>
        <v>0.48735359777708187</v>
      </c>
    </row>
    <row r="31" spans="1:7" ht="18.75">
      <c r="A31" s="6">
        <v>260</v>
      </c>
      <c r="B31" s="12">
        <f>IF($A31&lt;=0,0,0.125*_xlfn.NORM.S.DIST((LN($A31)-データ!$B$5)/データ!$B$10,TRUE())+0.25*_xlfn.NORM.S.DIST((LN($A31)-データ!$B$6)/データ!$B$10,TRUE())+0.375*_xlfn.NORM.S.DIST((LN($A31)-データ!$B$7)/データ!$B$10,TRUE()))</f>
        <v>0.41061075655869289</v>
      </c>
      <c r="C31" s="12">
        <f>IF($A31&lt;=0,0,0.125*_xlfn.NORM.S.DIST((LN($A31)-データ!$C$5)/データ!$C$10,TRUE())+0.25*_xlfn.NORM.S.DIST((LN($A31)-データ!$C$6)/データ!$C$10,TRUE())+0.375*_xlfn.NORM.S.DIST((LN($A31)-データ!$C$7)/データ!$C$10,TRUE()))</f>
        <v>0.38538788971550353</v>
      </c>
      <c r="D31" s="12">
        <f>IF($A31&lt;=0,0,0.125*_xlfn.NORM.S.DIST((LN($A31)-データ!$D$5)/データ!$D$10,TRUE())+0.25*_xlfn.NORM.S.DIST((LN($A31)-データ!$D$6)/データ!$D$10,TRUE())+0.375*_xlfn.NORM.S.DIST((LN($A31)-データ!$D$7)/データ!$D$10,TRUE()))</f>
        <v>0.49512255648825654</v>
      </c>
      <c r="E31" s="12">
        <f>IF($A31&lt;=0,0,0.125*_xlfn.NORM.S.DIST((LN($A31)-データ!$E$5)/データ!$E$10,TRUE())+0.25*_xlfn.NORM.S.DIST((LN($A31)-データ!$E$6)/データ!$E$10,TRUE())+0.25*_xlfn.NORM.S.DIST((LN($A31)-データ!$E$7)/データ!$E$10,TRUE())+0.25*_xlfn.NORM.S.DIST((LN($A31)-データ!$E$8)/データ!$E$10,TRUE())+0.125*_xlfn.NORM.S.DIST((LN($A31)-データ!$E$9)/データ!$E$10,TRUE()))</f>
        <v>0.50211441715294725</v>
      </c>
      <c r="F31" s="12">
        <f>IF($A31&lt;=0,0,0.125*_xlfn.NORM.S.DIST((LN($A31)-データ!$F$5)/データ!$F$10,TRUE())+0.25*_xlfn.NORM.S.DIST((LN($A31)-データ!$F$6)/データ!$F$10,TRUE())+0.25*_xlfn.NORM.S.DIST((LN($A31)-データ!$F$7)/データ!$F$10,TRUE())+0.25*_xlfn.NORM.S.DIST((LN($A31)-データ!$F$8)/データ!$F$10,TRUE())+0.125*_xlfn.NORM.S.DIST((LN($A31)-データ!$F$9)/データ!$F$10,TRUE()))</f>
        <v>0.66003063172283161</v>
      </c>
      <c r="G31" s="12">
        <f>IF($A31&lt;=0,0,0.125*_xlfn.NORM.S.DIST((LN($A31)-データ!$G$5)/データ!$G$10,TRUE())+0.25*_xlfn.NORM.S.DIST((LN($A31)-データ!$G$6)/データ!$G$10,TRUE())+0.25*_xlfn.NORM.S.DIST((LN($A31)-データ!$G$7)/データ!$G$10,TRUE())+0.25*_xlfn.NORM.S.DIST((LN($A31)-データ!$G$8)/データ!$G$10,TRUE())+0.125*_xlfn.NORM.S.DIST((LN($A31)-データ!$G$9)/データ!$G$10,TRUE()))</f>
        <v>0.49196531051602199</v>
      </c>
    </row>
    <row r="32" spans="1:7" ht="18.75">
      <c r="A32" s="6">
        <v>270</v>
      </c>
      <c r="B32" s="12">
        <f>IF($A32&lt;=0,0,0.125*_xlfn.NORM.S.DIST((LN($A32)-データ!$B$5)/データ!$B$10,TRUE())+0.25*_xlfn.NORM.S.DIST((LN($A32)-データ!$B$6)/データ!$B$10,TRUE())+0.375*_xlfn.NORM.S.DIST((LN($A32)-データ!$B$7)/データ!$B$10,TRUE()))</f>
        <v>0.41984758275660439</v>
      </c>
      <c r="C32" s="12">
        <f>IF($A32&lt;=0,0,0.125*_xlfn.NORM.S.DIST((LN($A32)-データ!$C$5)/データ!$C$10,TRUE())+0.25*_xlfn.NORM.S.DIST((LN($A32)-データ!$C$6)/データ!$C$10,TRUE())+0.375*_xlfn.NORM.S.DIST((LN($A32)-データ!$C$7)/データ!$C$10,TRUE()))</f>
        <v>0.39297389466252852</v>
      </c>
      <c r="D32" s="12">
        <f>IF($A32&lt;=0,0,0.125*_xlfn.NORM.S.DIST((LN($A32)-データ!$D$5)/データ!$D$10,TRUE())+0.25*_xlfn.NORM.S.DIST((LN($A32)-データ!$D$6)/データ!$D$10,TRUE())+0.375*_xlfn.NORM.S.DIST((LN($A32)-データ!$D$7)/データ!$D$10,TRUE()))</f>
        <v>0.50535244557317538</v>
      </c>
      <c r="E32" s="12">
        <f>IF($A32&lt;=0,0,0.125*_xlfn.NORM.S.DIST((LN($A32)-データ!$E$5)/データ!$E$10,TRUE())+0.25*_xlfn.NORM.S.DIST((LN($A32)-データ!$E$6)/データ!$E$10,TRUE())+0.25*_xlfn.NORM.S.DIST((LN($A32)-データ!$E$7)/データ!$E$10,TRUE())+0.25*_xlfn.NORM.S.DIST((LN($A32)-データ!$E$8)/データ!$E$10,TRUE())+0.125*_xlfn.NORM.S.DIST((LN($A32)-データ!$E$9)/データ!$E$10,TRUE()))</f>
        <v>0.51068049037129348</v>
      </c>
      <c r="F32" s="12">
        <f>IF($A32&lt;=0,0,0.125*_xlfn.NORM.S.DIST((LN($A32)-データ!$F$5)/データ!$F$10,TRUE())+0.25*_xlfn.NORM.S.DIST((LN($A32)-データ!$F$6)/データ!$F$10,TRUE())+0.25*_xlfn.NORM.S.DIST((LN($A32)-データ!$F$7)/データ!$F$10,TRUE())+0.25*_xlfn.NORM.S.DIST((LN($A32)-データ!$F$8)/データ!$F$10,TRUE())+0.125*_xlfn.NORM.S.DIST((LN($A32)-データ!$F$9)/データ!$F$10,TRUE()))</f>
        <v>0.66762055573978674</v>
      </c>
      <c r="G32" s="12">
        <f>IF($A32&lt;=0,0,0.125*_xlfn.NORM.S.DIST((LN($A32)-データ!$G$5)/データ!$G$10,TRUE())+0.25*_xlfn.NORM.S.DIST((LN($A32)-データ!$G$6)/データ!$G$10,TRUE())+0.25*_xlfn.NORM.S.DIST((LN($A32)-データ!$G$7)/データ!$G$10,TRUE())+0.25*_xlfn.NORM.S.DIST((LN($A32)-データ!$G$8)/データ!$G$10,TRUE())+0.125*_xlfn.NORM.S.DIST((LN($A32)-データ!$G$9)/データ!$G$10,TRUE()))</f>
        <v>0.49641150176671756</v>
      </c>
    </row>
    <row r="33" spans="1:7" ht="18.75">
      <c r="A33" s="6">
        <v>280</v>
      </c>
      <c r="B33" s="12">
        <f>IF($A33&lt;=0,0,0.125*_xlfn.NORM.S.DIST((LN($A33)-データ!$B$5)/データ!$B$10,TRUE())+0.25*_xlfn.NORM.S.DIST((LN($A33)-データ!$B$6)/データ!$B$10,TRUE())+0.375*_xlfn.NORM.S.DIST((LN($A33)-データ!$B$7)/データ!$B$10,TRUE()))</f>
        <v>0.42877243213570587</v>
      </c>
      <c r="C33" s="12">
        <f>IF($A33&lt;=0,0,0.125*_xlfn.NORM.S.DIST((LN($A33)-データ!$C$5)/データ!$C$10,TRUE())+0.25*_xlfn.NORM.S.DIST((LN($A33)-データ!$C$6)/データ!$C$10,TRUE())+0.375*_xlfn.NORM.S.DIST((LN($A33)-データ!$C$7)/データ!$C$10,TRUE()))</f>
        <v>0.40031005403061826</v>
      </c>
      <c r="D33" s="12">
        <f>IF($A33&lt;=0,0,0.125*_xlfn.NORM.S.DIST((LN($A33)-データ!$D$5)/データ!$D$10,TRUE())+0.25*_xlfn.NORM.S.DIST((LN($A33)-データ!$D$6)/データ!$D$10,TRUE())+0.375*_xlfn.NORM.S.DIST((LN($A33)-データ!$D$7)/データ!$D$10,TRUE()))</f>
        <v>0.51510057318962432</v>
      </c>
      <c r="E33" s="12">
        <f>IF($A33&lt;=0,0,0.125*_xlfn.NORM.S.DIST((LN($A33)-データ!$E$5)/データ!$E$10,TRUE())+0.25*_xlfn.NORM.S.DIST((LN($A33)-データ!$E$6)/データ!$E$10,TRUE())+0.25*_xlfn.NORM.S.DIST((LN($A33)-データ!$E$7)/データ!$E$10,TRUE())+0.25*_xlfn.NORM.S.DIST((LN($A33)-データ!$E$8)/データ!$E$10,TRUE())+0.125*_xlfn.NORM.S.DIST((LN($A33)-データ!$E$9)/データ!$E$10,TRUE()))</f>
        <v>0.51895893785590785</v>
      </c>
      <c r="F33" s="12">
        <f>IF($A33&lt;=0,0,0.125*_xlfn.NORM.S.DIST((LN($A33)-データ!$F$5)/データ!$F$10,TRUE())+0.25*_xlfn.NORM.S.DIST((LN($A33)-データ!$F$6)/データ!$F$10,TRUE())+0.25*_xlfn.NORM.S.DIST((LN($A33)-データ!$F$7)/データ!$F$10,TRUE())+0.25*_xlfn.NORM.S.DIST((LN($A33)-データ!$F$8)/データ!$F$10,TRUE())+0.125*_xlfn.NORM.S.DIST((LN($A33)-データ!$F$9)/データ!$F$10,TRUE()))</f>
        <v>0.67488369425859474</v>
      </c>
      <c r="G33" s="12">
        <f>IF($A33&lt;=0,0,0.125*_xlfn.NORM.S.DIST((LN($A33)-データ!$G$5)/データ!$G$10,TRUE())+0.25*_xlfn.NORM.S.DIST((LN($A33)-データ!$G$6)/データ!$G$10,TRUE())+0.25*_xlfn.NORM.S.DIST((LN($A33)-データ!$G$7)/データ!$G$10,TRUE())+0.25*_xlfn.NORM.S.DIST((LN($A33)-データ!$G$8)/データ!$G$10,TRUE())+0.125*_xlfn.NORM.S.DIST((LN($A33)-データ!$G$9)/データ!$G$10,TRUE()))</f>
        <v>0.5007033097569088</v>
      </c>
    </row>
    <row r="34" spans="1:7" ht="18.75">
      <c r="A34" s="6">
        <v>290</v>
      </c>
      <c r="B34" s="12">
        <f>IF($A34&lt;=0,0,0.125*_xlfn.NORM.S.DIST((LN($A34)-データ!$B$5)/データ!$B$10,TRUE())+0.25*_xlfn.NORM.S.DIST((LN($A34)-データ!$B$6)/データ!$B$10,TRUE())+0.375*_xlfn.NORM.S.DIST((LN($A34)-データ!$B$7)/データ!$B$10,TRUE()))</f>
        <v>0.437396644866068</v>
      </c>
      <c r="C34" s="12">
        <f>IF($A34&lt;=0,0,0.125*_xlfn.NORM.S.DIST((LN($A34)-データ!$C$5)/データ!$C$10,TRUE())+0.25*_xlfn.NORM.S.DIST((LN($A34)-データ!$C$6)/データ!$C$10,TRUE())+0.375*_xlfn.NORM.S.DIST((LN($A34)-データ!$C$7)/データ!$C$10,TRUE()))</f>
        <v>0.40740894194083077</v>
      </c>
      <c r="D34" s="12">
        <f>IF($A34&lt;=0,0,0.125*_xlfn.NORM.S.DIST((LN($A34)-データ!$D$5)/データ!$D$10,TRUE())+0.25*_xlfn.NORM.S.DIST((LN($A34)-データ!$D$6)/データ!$D$10,TRUE())+0.375*_xlfn.NORM.S.DIST((LN($A34)-データ!$D$7)/データ!$D$10,TRUE()))</f>
        <v>0.52439056787395988</v>
      </c>
      <c r="E34" s="12">
        <f>IF($A34&lt;=0,0,0.125*_xlfn.NORM.S.DIST((LN($A34)-データ!$E$5)/データ!$E$10,TRUE())+0.25*_xlfn.NORM.S.DIST((LN($A34)-データ!$E$6)/データ!$E$10,TRUE())+0.25*_xlfn.NORM.S.DIST((LN($A34)-データ!$E$7)/データ!$E$10,TRUE())+0.25*_xlfn.NORM.S.DIST((LN($A34)-データ!$E$8)/データ!$E$10,TRUE())+0.125*_xlfn.NORM.S.DIST((LN($A34)-データ!$E$9)/データ!$E$10,TRUE()))</f>
        <v>0.52696510279797149</v>
      </c>
      <c r="F34" s="12">
        <f>IF($A34&lt;=0,0,0.125*_xlfn.NORM.S.DIST((LN($A34)-データ!$F$5)/データ!$F$10,TRUE())+0.25*_xlfn.NORM.S.DIST((LN($A34)-データ!$F$6)/データ!$F$10,TRUE())+0.25*_xlfn.NORM.S.DIST((LN($A34)-データ!$F$7)/データ!$F$10,TRUE())+0.25*_xlfn.NORM.S.DIST((LN($A34)-データ!$F$8)/データ!$F$10,TRUE())+0.125*_xlfn.NORM.S.DIST((LN($A34)-データ!$F$9)/データ!$F$10,TRUE()))</f>
        <v>0.68184202288910178</v>
      </c>
      <c r="G34" s="12">
        <f>IF($A34&lt;=0,0,0.125*_xlfn.NORM.S.DIST((LN($A34)-データ!$G$5)/データ!$G$10,TRUE())+0.25*_xlfn.NORM.S.DIST((LN($A34)-データ!$G$6)/データ!$G$10,TRUE())+0.25*_xlfn.NORM.S.DIST((LN($A34)-データ!$G$7)/データ!$G$10,TRUE())+0.25*_xlfn.NORM.S.DIST((LN($A34)-データ!$G$8)/データ!$G$10,TRUE())+0.125*_xlfn.NORM.S.DIST((LN($A34)-データ!$G$9)/データ!$G$10,TRUE()))</f>
        <v>0.50485077795651712</v>
      </c>
    </row>
    <row r="35" spans="1:7" ht="18.75">
      <c r="A35" s="6">
        <v>300</v>
      </c>
      <c r="B35" s="12">
        <f>IF($A35&lt;=0,0,0.125*_xlfn.NORM.S.DIST((LN($A35)-データ!$B$5)/データ!$B$10,TRUE())+0.25*_xlfn.NORM.S.DIST((LN($A35)-データ!$B$6)/データ!$B$10,TRUE())+0.375*_xlfn.NORM.S.DIST((LN($A35)-データ!$B$7)/データ!$B$10,TRUE()))</f>
        <v>0.4457313069430513</v>
      </c>
      <c r="C35" s="12">
        <f>IF($A35&lt;=0,0,0.125*_xlfn.NORM.S.DIST((LN($A35)-データ!$C$5)/データ!$C$10,TRUE())+0.25*_xlfn.NORM.S.DIST((LN($A35)-データ!$C$6)/データ!$C$10,TRUE())+0.375*_xlfn.NORM.S.DIST((LN($A35)-データ!$C$7)/データ!$C$10,TRUE()))</f>
        <v>0.41428220429715396</v>
      </c>
      <c r="D35" s="12">
        <f>IF($A35&lt;=0,0,0.125*_xlfn.NORM.S.DIST((LN($A35)-データ!$D$5)/データ!$D$10,TRUE())+0.25*_xlfn.NORM.S.DIST((LN($A35)-データ!$D$6)/データ!$D$10,TRUE())+0.375*_xlfn.NORM.S.DIST((LN($A35)-データ!$D$7)/データ!$D$10,TRUE()))</f>
        <v>0.5332452540007101</v>
      </c>
      <c r="E35" s="12">
        <f>IF($A35&lt;=0,0,0.125*_xlfn.NORM.S.DIST((LN($A35)-データ!$E$5)/データ!$E$10,TRUE())+0.25*_xlfn.NORM.S.DIST((LN($A35)-データ!$E$6)/データ!$E$10,TRUE())+0.25*_xlfn.NORM.S.DIST((LN($A35)-データ!$E$7)/データ!$E$10,TRUE())+0.25*_xlfn.NORM.S.DIST((LN($A35)-データ!$E$8)/データ!$E$10,TRUE())+0.125*_xlfn.NORM.S.DIST((LN($A35)-データ!$E$9)/データ!$E$10,TRUE()))</f>
        <v>0.53471318461189454</v>
      </c>
      <c r="F35" s="12">
        <f>IF($A35&lt;=0,0,0.125*_xlfn.NORM.S.DIST((LN($A35)-データ!$F$5)/データ!$F$10,TRUE())+0.25*_xlfn.NORM.S.DIST((LN($A35)-データ!$F$6)/データ!$F$10,TRUE())+0.25*_xlfn.NORM.S.DIST((LN($A35)-データ!$F$7)/データ!$F$10,TRUE())+0.25*_xlfn.NORM.S.DIST((LN($A35)-データ!$F$8)/データ!$F$10,TRUE())+0.125*_xlfn.NORM.S.DIST((LN($A35)-データ!$F$9)/データ!$F$10,TRUE()))</f>
        <v>0.68851548018524866</v>
      </c>
      <c r="G35" s="12">
        <f>IF($A35&lt;=0,0,0.125*_xlfn.NORM.S.DIST((LN($A35)-データ!$G$5)/データ!$G$10,TRUE())+0.25*_xlfn.NORM.S.DIST((LN($A35)-データ!$G$6)/データ!$G$10,TRUE())+0.25*_xlfn.NORM.S.DIST((LN($A35)-データ!$G$7)/データ!$G$10,TRUE())+0.25*_xlfn.NORM.S.DIST((LN($A35)-データ!$G$8)/データ!$G$10,TRUE())+0.125*_xlfn.NORM.S.DIST((LN($A35)-データ!$G$9)/データ!$G$10,TRUE()))</f>
        <v>0.50886299509592725</v>
      </c>
    </row>
    <row r="36" spans="1:7" ht="18.75">
      <c r="A36" s="6">
        <v>310</v>
      </c>
      <c r="B36" s="12">
        <f>IF($A36&lt;=0,0,0.125*_xlfn.NORM.S.DIST((LN($A36)-データ!$B$5)/データ!$B$10,TRUE())+0.25*_xlfn.NORM.S.DIST((LN($A36)-データ!$B$6)/データ!$B$10,TRUE())+0.375*_xlfn.NORM.S.DIST((LN($A36)-データ!$B$7)/データ!$B$10,TRUE()))</f>
        <v>0.45378721511681791</v>
      </c>
      <c r="C36" s="12">
        <f>IF($A36&lt;=0,0,0.125*_xlfn.NORM.S.DIST((LN($A36)-データ!$C$5)/データ!$C$10,TRUE())+0.25*_xlfn.NORM.S.DIST((LN($A36)-データ!$C$6)/データ!$C$10,TRUE())+0.375*_xlfn.NORM.S.DIST((LN($A36)-データ!$C$7)/データ!$C$10,TRUE()))</f>
        <v>0.42094065345835985</v>
      </c>
      <c r="D36" s="12">
        <f>IF($A36&lt;=0,0,0.125*_xlfn.NORM.S.DIST((LN($A36)-データ!$D$5)/データ!$D$10,TRUE())+0.25*_xlfn.NORM.S.DIST((LN($A36)-データ!$D$6)/データ!$D$10,TRUE())+0.375*_xlfn.NORM.S.DIST((LN($A36)-データ!$D$7)/データ!$D$10,TRUE()))</f>
        <v>0.54168657561352729</v>
      </c>
      <c r="E36" s="12">
        <f>IF($A36&lt;=0,0,0.125*_xlfn.NORM.S.DIST((LN($A36)-データ!$E$5)/データ!$E$10,TRUE())+0.25*_xlfn.NORM.S.DIST((LN($A36)-データ!$E$6)/データ!$E$10,TRUE())+0.25*_xlfn.NORM.S.DIST((LN($A36)-データ!$E$7)/データ!$E$10,TRUE())+0.25*_xlfn.NORM.S.DIST((LN($A36)-データ!$E$8)/データ!$E$10,TRUE())+0.125*_xlfn.NORM.S.DIST((LN($A36)-データ!$E$9)/データ!$E$10,TRUE()))</f>
        <v>0.54221634897646753</v>
      </c>
      <c r="F36" s="12">
        <f>IF($A36&lt;=0,0,0.125*_xlfn.NORM.S.DIST((LN($A36)-データ!$F$5)/データ!$F$10,TRUE())+0.25*_xlfn.NORM.S.DIST((LN($A36)-データ!$F$6)/データ!$F$10,TRUE())+0.25*_xlfn.NORM.S.DIST((LN($A36)-データ!$F$7)/データ!$F$10,TRUE())+0.25*_xlfn.NORM.S.DIST((LN($A36)-データ!$F$8)/データ!$F$10,TRUE())+0.125*_xlfn.NORM.S.DIST((LN($A36)-データ!$F$9)/データ!$F$10,TRUE()))</f>
        <v>0.69492220848464481</v>
      </c>
      <c r="G36" s="12">
        <f>IF($A36&lt;=0,0,0.125*_xlfn.NORM.S.DIST((LN($A36)-データ!$G$5)/データ!$G$10,TRUE())+0.25*_xlfn.NORM.S.DIST((LN($A36)-データ!$G$6)/データ!$G$10,TRUE())+0.25*_xlfn.NORM.S.DIST((LN($A36)-データ!$G$7)/データ!$G$10,TRUE())+0.25*_xlfn.NORM.S.DIST((LN($A36)-データ!$G$8)/データ!$G$10,TRUE())+0.125*_xlfn.NORM.S.DIST((LN($A36)-データ!$G$9)/データ!$G$10,TRUE()))</f>
        <v>0.51274821335188037</v>
      </c>
    </row>
    <row r="37" spans="1:7" ht="18.75">
      <c r="A37" s="6">
        <v>320</v>
      </c>
      <c r="B37" s="12">
        <f>IF($A37&lt;=0,0,0.125*_xlfn.NORM.S.DIST((LN($A37)-データ!$B$5)/データ!$B$10,TRUE())+0.25*_xlfn.NORM.S.DIST((LN($A37)-データ!$B$6)/データ!$B$10,TRUE())+0.375*_xlfn.NORM.S.DIST((LN($A37)-データ!$B$7)/データ!$B$10,TRUE()))</f>
        <v>0.46157485203874538</v>
      </c>
      <c r="C37" s="12">
        <f>IF($A37&lt;=0,0,0.125*_xlfn.NORM.S.DIST((LN($A37)-データ!$C$5)/データ!$C$10,TRUE())+0.25*_xlfn.NORM.S.DIST((LN($A37)-データ!$C$6)/データ!$C$10,TRUE())+0.375*_xlfn.NORM.S.DIST((LN($A37)-データ!$C$7)/データ!$C$10,TRUE()))</f>
        <v>0.42739435044361118</v>
      </c>
      <c r="D37" s="12">
        <f>IF($A37&lt;=0,0,0.125*_xlfn.NORM.S.DIST((LN($A37)-データ!$D$5)/データ!$D$10,TRUE())+0.25*_xlfn.NORM.S.DIST((LN($A37)-データ!$D$6)/データ!$D$10,TRUE())+0.375*_xlfn.NORM.S.DIST((LN($A37)-データ!$D$7)/データ!$D$10,TRUE()))</f>
        <v>0.54973555149653563</v>
      </c>
      <c r="E37" s="12">
        <f>IF($A37&lt;=0,0,0.125*_xlfn.NORM.S.DIST((LN($A37)-データ!$E$5)/データ!$E$10,TRUE())+0.25*_xlfn.NORM.S.DIST((LN($A37)-データ!$E$6)/データ!$E$10,TRUE())+0.25*_xlfn.NORM.S.DIST((LN($A37)-データ!$E$7)/データ!$E$10,TRUE())+0.25*_xlfn.NORM.S.DIST((LN($A37)-データ!$E$8)/データ!$E$10,TRUE())+0.125*_xlfn.NORM.S.DIST((LN($A37)-データ!$E$9)/データ!$E$10,TRUE()))</f>
        <v>0.54948682488605793</v>
      </c>
      <c r="F37" s="12">
        <f>IF($A37&lt;=0,0,0.125*_xlfn.NORM.S.DIST((LN($A37)-データ!$F$5)/データ!$F$10,TRUE())+0.25*_xlfn.NORM.S.DIST((LN($A37)-データ!$F$6)/データ!$F$10,TRUE())+0.25*_xlfn.NORM.S.DIST((LN($A37)-データ!$F$7)/データ!$F$10,TRUE())+0.25*_xlfn.NORM.S.DIST((LN($A37)-データ!$F$8)/データ!$F$10,TRUE())+0.125*_xlfn.NORM.S.DIST((LN($A37)-データ!$F$9)/データ!$F$10,TRUE()))</f>
        <v>0.70107876024426841</v>
      </c>
      <c r="G37" s="12">
        <f>IF($A37&lt;=0,0,0.125*_xlfn.NORM.S.DIST((LN($A37)-データ!$G$5)/データ!$G$10,TRUE())+0.25*_xlfn.NORM.S.DIST((LN($A37)-データ!$G$6)/データ!$G$10,TRUE())+0.25*_xlfn.NORM.S.DIST((LN($A37)-データ!$G$7)/データ!$G$10,TRUE())+0.25*_xlfn.NORM.S.DIST((LN($A37)-データ!$G$8)/データ!$G$10,TRUE())+0.125*_xlfn.NORM.S.DIST((LN($A37)-データ!$G$9)/データ!$G$10,TRUE()))</f>
        <v>0.5165139486826883</v>
      </c>
    </row>
    <row r="38" spans="1:7" ht="18.75">
      <c r="A38" s="6">
        <v>330</v>
      </c>
      <c r="B38" s="12">
        <f>IF($A38&lt;=0,0,0.125*_xlfn.NORM.S.DIST((LN($A38)-データ!$B$5)/データ!$B$10,TRUE())+0.25*_xlfn.NORM.S.DIST((LN($A38)-データ!$B$6)/データ!$B$10,TRUE())+0.375*_xlfn.NORM.S.DIST((LN($A38)-データ!$B$7)/データ!$B$10,TRUE()))</f>
        <v>0.46910436960852386</v>
      </c>
      <c r="C38" s="12">
        <f>IF($A38&lt;=0,0,0.125*_xlfn.NORM.S.DIST((LN($A38)-データ!$C$5)/データ!$C$10,TRUE())+0.25*_xlfn.NORM.S.DIST((LN($A38)-データ!$C$6)/データ!$C$10,TRUE())+0.375*_xlfn.NORM.S.DIST((LN($A38)-データ!$C$7)/データ!$C$10,TRUE()))</f>
        <v>0.43365267667082158</v>
      </c>
      <c r="D38" s="12">
        <f>IF($A38&lt;=0,0,0.125*_xlfn.NORM.S.DIST((LN($A38)-データ!$D$5)/データ!$D$10,TRUE())+0.25*_xlfn.NORM.S.DIST((LN($A38)-データ!$D$6)/データ!$D$10,TRUE())+0.375*_xlfn.NORM.S.DIST((LN($A38)-データ!$D$7)/データ!$D$10,TRUE()))</f>
        <v>0.55741225390638638</v>
      </c>
      <c r="E38" s="12">
        <f>IF($A38&lt;=0,0,0.125*_xlfn.NORM.S.DIST((LN($A38)-データ!$E$5)/データ!$E$10,TRUE())+0.25*_xlfn.NORM.S.DIST((LN($A38)-データ!$E$6)/データ!$E$10,TRUE())+0.25*_xlfn.NORM.S.DIST((LN($A38)-データ!$E$7)/データ!$E$10,TRUE())+0.25*_xlfn.NORM.S.DIST((LN($A38)-データ!$E$8)/データ!$E$10,TRUE())+0.125*_xlfn.NORM.S.DIST((LN($A38)-データ!$E$9)/データ!$E$10,TRUE()))</f>
        <v>0.55653599053292468</v>
      </c>
      <c r="F38" s="12">
        <f>IF($A38&lt;=0,0,0.125*_xlfn.NORM.S.DIST((LN($A38)-データ!$F$5)/データ!$F$10,TRUE())+0.25*_xlfn.NORM.S.DIST((LN($A38)-データ!$F$6)/データ!$F$10,TRUE())+0.25*_xlfn.NORM.S.DIST((LN($A38)-データ!$F$7)/データ!$F$10,TRUE())+0.25*_xlfn.NORM.S.DIST((LN($A38)-データ!$F$8)/データ!$F$10,TRUE())+0.125*_xlfn.NORM.S.DIST((LN($A38)-データ!$F$9)/データ!$F$10,TRUE()))</f>
        <v>0.70700027565238233</v>
      </c>
      <c r="G38" s="12">
        <f>IF($A38&lt;=0,0,0.125*_xlfn.NORM.S.DIST((LN($A38)-データ!$G$5)/データ!$G$10,TRUE())+0.25*_xlfn.NORM.S.DIST((LN($A38)-データ!$G$6)/データ!$G$10,TRUE())+0.25*_xlfn.NORM.S.DIST((LN($A38)-データ!$G$7)/データ!$G$10,TRUE())+0.25*_xlfn.NORM.S.DIST((LN($A38)-データ!$G$8)/データ!$G$10,TRUE())+0.125*_xlfn.NORM.S.DIST((LN($A38)-データ!$G$9)/データ!$G$10,TRUE()))</f>
        <v>0.52016706646896704</v>
      </c>
    </row>
    <row r="39" spans="1:7" ht="18.75">
      <c r="A39" s="6">
        <v>340</v>
      </c>
      <c r="B39" s="12">
        <f>IF($A39&lt;=0,0,0.125*_xlfn.NORM.S.DIST((LN($A39)-データ!$B$5)/データ!$B$10,TRUE())+0.25*_xlfn.NORM.S.DIST((LN($A39)-データ!$B$6)/データ!$B$10,TRUE())+0.375*_xlfn.NORM.S.DIST((LN($A39)-データ!$B$7)/データ!$B$10,TRUE()))</f>
        <v>0.4763855788660698</v>
      </c>
      <c r="C39" s="12">
        <f>IF($A39&lt;=0,0,0.125*_xlfn.NORM.S.DIST((LN($A39)-データ!$C$5)/データ!$C$10,TRUE())+0.25*_xlfn.NORM.S.DIST((LN($A39)-データ!$C$6)/データ!$C$10,TRUE())+0.375*_xlfn.NORM.S.DIST((LN($A39)-データ!$C$7)/データ!$C$10,TRUE()))</f>
        <v>0.43972439685276549</v>
      </c>
      <c r="D39" s="12">
        <f>IF($A39&lt;=0,0,0.125*_xlfn.NORM.S.DIST((LN($A39)-データ!$D$5)/データ!$D$10,TRUE())+0.25*_xlfn.NORM.S.DIST((LN($A39)-データ!$D$6)/データ!$D$10,TRUE())+0.375*_xlfn.NORM.S.DIST((LN($A39)-データ!$D$7)/データ!$D$10,TRUE()))</f>
        <v>0.56473580507235721</v>
      </c>
      <c r="E39" s="12">
        <f>IF($A39&lt;=0,0,0.125*_xlfn.NORM.S.DIST((LN($A39)-データ!$E$5)/データ!$E$10,TRUE())+0.25*_xlfn.NORM.S.DIST((LN($A39)-データ!$E$6)/データ!$E$10,TRUE())+0.25*_xlfn.NORM.S.DIST((LN($A39)-データ!$E$7)/データ!$E$10,TRUE())+0.25*_xlfn.NORM.S.DIST((LN($A39)-データ!$E$8)/データ!$E$10,TRUE())+0.125*_xlfn.NORM.S.DIST((LN($A39)-データ!$E$9)/データ!$E$10,TRUE()))</f>
        <v>0.56337444954486238</v>
      </c>
      <c r="F39" s="12">
        <f>IF($A39&lt;=0,0,0.125*_xlfn.NORM.S.DIST((LN($A39)-データ!$F$5)/データ!$F$10,TRUE())+0.25*_xlfn.NORM.S.DIST((LN($A39)-データ!$F$6)/データ!$F$10,TRUE())+0.25*_xlfn.NORM.S.DIST((LN($A39)-データ!$F$7)/データ!$F$10,TRUE())+0.25*_xlfn.NORM.S.DIST((LN($A39)-データ!$F$8)/データ!$F$10,TRUE())+0.125*_xlfn.NORM.S.DIST((LN($A39)-データ!$F$9)/データ!$F$10,TRUE()))</f>
        <v>0.7127006361935373</v>
      </c>
      <c r="G39" s="12">
        <f>IF($A39&lt;=0,0,0.125*_xlfn.NORM.S.DIST((LN($A39)-データ!$G$5)/データ!$G$10,TRUE())+0.25*_xlfn.NORM.S.DIST((LN($A39)-データ!$G$6)/データ!$G$10,TRUE())+0.25*_xlfn.NORM.S.DIST((LN($A39)-データ!$G$7)/データ!$G$10,TRUE())+0.25*_xlfn.NORM.S.DIST((LN($A39)-データ!$G$8)/データ!$G$10,TRUE())+0.125*_xlfn.NORM.S.DIST((LN($A39)-データ!$G$9)/データ!$G$10,TRUE()))</f>
        <v>0.52371385498116063</v>
      </c>
    </row>
    <row r="40" spans="1:7" ht="18.75">
      <c r="A40" s="6">
        <v>350</v>
      </c>
      <c r="B40" s="12">
        <f>IF($A40&lt;=0,0,0.125*_xlfn.NORM.S.DIST((LN($A40)-データ!$B$5)/データ!$B$10,TRUE())+0.25*_xlfn.NORM.S.DIST((LN($A40)-データ!$B$6)/データ!$B$10,TRUE())+0.375*_xlfn.NORM.S.DIST((LN($A40)-データ!$B$7)/データ!$B$10,TRUE()))</f>
        <v>0.48342794507432102</v>
      </c>
      <c r="C40" s="12">
        <f>IF($A40&lt;=0,0,0.125*_xlfn.NORM.S.DIST((LN($A40)-データ!$C$5)/データ!$C$10,TRUE())+0.25*_xlfn.NORM.S.DIST((LN($A40)-データ!$C$6)/データ!$C$10,TRUE())+0.375*_xlfn.NORM.S.DIST((LN($A40)-データ!$C$7)/データ!$C$10,TRUE()))</f>
        <v>0.44561771438119274</v>
      </c>
      <c r="D40" s="12">
        <f>IF($A40&lt;=0,0,0.125*_xlfn.NORM.S.DIST((LN($A40)-データ!$D$5)/データ!$D$10,TRUE())+0.25*_xlfn.NORM.S.DIST((LN($A40)-データ!$D$6)/データ!$D$10,TRUE())+0.375*_xlfn.NORM.S.DIST((LN($A40)-データ!$D$7)/データ!$D$10,TRUE()))</f>
        <v>0.57172438688679383</v>
      </c>
      <c r="E40" s="12">
        <f>IF($A40&lt;=0,0,0.125*_xlfn.NORM.S.DIST((LN($A40)-データ!$E$5)/データ!$E$10,TRUE())+0.25*_xlfn.NORM.S.DIST((LN($A40)-データ!$E$6)/データ!$E$10,TRUE())+0.25*_xlfn.NORM.S.DIST((LN($A40)-データ!$E$7)/データ!$E$10,TRUE())+0.25*_xlfn.NORM.S.DIST((LN($A40)-データ!$E$8)/データ!$E$10,TRUE())+0.125*_xlfn.NORM.S.DIST((LN($A40)-データ!$E$9)/データ!$E$10,TRUE()))</f>
        <v>0.5700120988610361</v>
      </c>
      <c r="F40" s="12">
        <f>IF($A40&lt;=0,0,0.125*_xlfn.NORM.S.DIST((LN($A40)-データ!$F$5)/データ!$F$10,TRUE())+0.25*_xlfn.NORM.S.DIST((LN($A40)-データ!$F$6)/データ!$F$10,TRUE())+0.25*_xlfn.NORM.S.DIST((LN($A40)-データ!$F$7)/データ!$F$10,TRUE())+0.25*_xlfn.NORM.S.DIST((LN($A40)-データ!$F$8)/データ!$F$10,TRUE())+0.125*_xlfn.NORM.S.DIST((LN($A40)-データ!$F$9)/データ!$F$10,TRUE()))</f>
        <v>0.71819259797559887</v>
      </c>
      <c r="G40" s="12">
        <f>IF($A40&lt;=0,0,0.125*_xlfn.NORM.S.DIST((LN($A40)-データ!$G$5)/データ!$G$10,TRUE())+0.25*_xlfn.NORM.S.DIST((LN($A40)-データ!$G$6)/データ!$G$10,TRUE())+0.25*_xlfn.NORM.S.DIST((LN($A40)-データ!$G$7)/データ!$G$10,TRUE())+0.25*_xlfn.NORM.S.DIST((LN($A40)-データ!$G$8)/データ!$G$10,TRUE())+0.125*_xlfn.NORM.S.DIST((LN($A40)-データ!$G$9)/データ!$G$10,TRUE()))</f>
        <v>0.52716008870254671</v>
      </c>
    </row>
    <row r="41" spans="1:7" ht="18.75">
      <c r="A41" s="6">
        <v>360</v>
      </c>
      <c r="B41" s="12">
        <f>IF($A41&lt;=0,0,0.125*_xlfn.NORM.S.DIST((LN($A41)-データ!$B$5)/データ!$B$10,TRUE())+0.25*_xlfn.NORM.S.DIST((LN($A41)-データ!$B$6)/データ!$B$10,TRUE())+0.375*_xlfn.NORM.S.DIST((LN($A41)-データ!$B$7)/データ!$B$10,TRUE()))</f>
        <v>0.49024058688957484</v>
      </c>
      <c r="C41" s="12">
        <f>IF($A41&lt;=0,0,0.125*_xlfn.NORM.S.DIST((LN($A41)-データ!$C$5)/データ!$C$10,TRUE())+0.25*_xlfn.NORM.S.DIST((LN($A41)-データ!$C$6)/データ!$C$10,TRUE())+0.375*_xlfn.NORM.S.DIST((LN($A41)-データ!$C$7)/データ!$C$10,TRUE()))</f>
        <v>0.45134032029507809</v>
      </c>
      <c r="D41" s="12">
        <f>IF($A41&lt;=0,0,0.125*_xlfn.NORM.S.DIST((LN($A41)-データ!$D$5)/データ!$D$10,TRUE())+0.25*_xlfn.NORM.S.DIST((LN($A41)-データ!$D$6)/データ!$D$10,TRUE())+0.375*_xlfn.NORM.S.DIST((LN($A41)-データ!$D$7)/データ!$D$10,TRUE()))</f>
        <v>0.57839526023390242</v>
      </c>
      <c r="E41" s="12">
        <f>IF($A41&lt;=0,0,0.125*_xlfn.NORM.S.DIST((LN($A41)-データ!$E$5)/データ!$E$10,TRUE())+0.25*_xlfn.NORM.S.DIST((LN($A41)-データ!$E$6)/データ!$E$10,TRUE())+0.25*_xlfn.NORM.S.DIST((LN($A41)-データ!$E$7)/データ!$E$10,TRUE())+0.25*_xlfn.NORM.S.DIST((LN($A41)-データ!$E$8)/データ!$E$10,TRUE())+0.125*_xlfn.NORM.S.DIST((LN($A41)-データ!$E$9)/データ!$E$10,TRUE()))</f>
        <v>0.57645818933122106</v>
      </c>
      <c r="F41" s="12">
        <f>IF($A41&lt;=0,0,0.125*_xlfn.NORM.S.DIST((LN($A41)-データ!$F$5)/データ!$F$10,TRUE())+0.25*_xlfn.NORM.S.DIST((LN($A41)-データ!$F$6)/データ!$F$10,TRUE())+0.25*_xlfn.NORM.S.DIST((LN($A41)-データ!$F$7)/データ!$F$10,TRUE())+0.25*_xlfn.NORM.S.DIST((LN($A41)-データ!$F$8)/データ!$F$10,TRUE())+0.125*_xlfn.NORM.S.DIST((LN($A41)-データ!$F$9)/データ!$F$10,TRUE()))</f>
        <v>0.72348790793982087</v>
      </c>
      <c r="G41" s="12">
        <f>IF($A41&lt;=0,0,0.125*_xlfn.NORM.S.DIST((LN($A41)-データ!$G$5)/データ!$G$10,TRUE())+0.25*_xlfn.NORM.S.DIST((LN($A41)-データ!$G$6)/データ!$G$10,TRUE())+0.25*_xlfn.NORM.S.DIST((LN($A41)-データ!$G$7)/データ!$G$10,TRUE())+0.25*_xlfn.NORM.S.DIST((LN($A41)-データ!$G$8)/データ!$G$10,TRUE())+0.125*_xlfn.NORM.S.DIST((LN($A41)-データ!$G$9)/データ!$G$10,TRUE()))</f>
        <v>0.53051108315116891</v>
      </c>
    </row>
    <row r="42" spans="1:7" ht="18.75">
      <c r="A42" s="6">
        <v>370</v>
      </c>
      <c r="B42" s="12">
        <f>IF($A42&lt;=0,0,0.125*_xlfn.NORM.S.DIST((LN($A42)-データ!$B$5)/データ!$B$10,TRUE())+0.25*_xlfn.NORM.S.DIST((LN($A42)-データ!$B$6)/データ!$B$10,TRUE())+0.375*_xlfn.NORM.S.DIST((LN($A42)-データ!$B$7)/データ!$B$10,TRUE()))</f>
        <v>0.49683227872270569</v>
      </c>
      <c r="C42" s="12">
        <f>IF($A42&lt;=0,0,0.125*_xlfn.NORM.S.DIST((LN($A42)-データ!$C$5)/データ!$C$10,TRUE())+0.25*_xlfn.NORM.S.DIST((LN($A42)-データ!$C$6)/データ!$C$10,TRUE())+0.375*_xlfn.NORM.S.DIST((LN($A42)-データ!$C$7)/データ!$C$10,TRUE()))</f>
        <v>0.45689943674179218</v>
      </c>
      <c r="D42" s="12">
        <f>IF($A42&lt;=0,0,0.125*_xlfn.NORM.S.DIST((LN($A42)-データ!$D$5)/データ!$D$10,TRUE())+0.25*_xlfn.NORM.S.DIST((LN($A42)-データ!$D$6)/データ!$D$10,TRUE())+0.375*_xlfn.NORM.S.DIST((LN($A42)-データ!$D$7)/データ!$D$10,TRUE()))</f>
        <v>0.58476479120565861</v>
      </c>
      <c r="E42" s="12">
        <f>IF($A42&lt;=0,0,0.125*_xlfn.NORM.S.DIST((LN($A42)-データ!$E$5)/データ!$E$10,TRUE())+0.25*_xlfn.NORM.S.DIST((LN($A42)-データ!$E$6)/データ!$E$10,TRUE())+0.25*_xlfn.NORM.S.DIST((LN($A42)-データ!$E$7)/データ!$E$10,TRUE())+0.25*_xlfn.NORM.S.DIST((LN($A42)-データ!$E$8)/データ!$E$10,TRUE())+0.125*_xlfn.NORM.S.DIST((LN($A42)-データ!$E$9)/データ!$E$10,TRUE()))</f>
        <v>0.58272137996076279</v>
      </c>
      <c r="F42" s="12">
        <f>IF($A42&lt;=0,0,0.125*_xlfn.NORM.S.DIST((LN($A42)-データ!$F$5)/データ!$F$10,TRUE())+0.25*_xlfn.NORM.S.DIST((LN($A42)-データ!$F$6)/データ!$F$10,TRUE())+0.25*_xlfn.NORM.S.DIST((LN($A42)-データ!$F$7)/データ!$F$10,TRUE())+0.25*_xlfn.NORM.S.DIST((LN($A42)-データ!$F$8)/データ!$F$10,TRUE())+0.125*_xlfn.NORM.S.DIST((LN($A42)-データ!$F$9)/データ!$F$10,TRUE()))</f>
        <v>0.72859740552600816</v>
      </c>
      <c r="G42" s="12">
        <f>IF($A42&lt;=0,0,0.125*_xlfn.NORM.S.DIST((LN($A42)-データ!$G$5)/データ!$G$10,TRUE())+0.25*_xlfn.NORM.S.DIST((LN($A42)-データ!$G$6)/データ!$G$10,TRUE())+0.25*_xlfn.NORM.S.DIST((LN($A42)-データ!$G$7)/データ!$G$10,TRUE())+0.25*_xlfn.NORM.S.DIST((LN($A42)-データ!$G$8)/データ!$G$10,TRUE())+0.125*_xlfn.NORM.S.DIST((LN($A42)-データ!$G$9)/データ!$G$10,TRUE()))</f>
        <v>0.53377174254054571</v>
      </c>
    </row>
    <row r="43" spans="1:7" ht="18.75">
      <c r="A43" s="6">
        <v>380</v>
      </c>
      <c r="B43" s="12">
        <f>IF($A43&lt;=0,0,0.125*_xlfn.NORM.S.DIST((LN($A43)-データ!$B$5)/データ!$B$10,TRUE())+0.25*_xlfn.NORM.S.DIST((LN($A43)-データ!$B$6)/データ!$B$10,TRUE())+0.375*_xlfn.NORM.S.DIST((LN($A43)-データ!$B$7)/データ!$B$10,TRUE()))</f>
        <v>0.50321145556431868</v>
      </c>
      <c r="C43" s="12">
        <f>IF($A43&lt;=0,0,0.125*_xlfn.NORM.S.DIST((LN($A43)-データ!$C$5)/データ!$C$10,TRUE())+0.25*_xlfn.NORM.S.DIST((LN($A43)-データ!$C$6)/データ!$C$10,TRUE())+0.375*_xlfn.NORM.S.DIST((LN($A43)-データ!$C$7)/データ!$C$10,TRUE()))</f>
        <v>0.46230185568903848</v>
      </c>
      <c r="D43" s="12">
        <f>IF($A43&lt;=0,0,0.125*_xlfn.NORM.S.DIST((LN($A43)-データ!$D$5)/データ!$D$10,TRUE())+0.25*_xlfn.NORM.S.DIST((LN($A43)-データ!$D$6)/データ!$D$10,TRUE())+0.375*_xlfn.NORM.S.DIST((LN($A43)-データ!$D$7)/データ!$D$10,TRUE()))</f>
        <v>0.59084848207921348</v>
      </c>
      <c r="E43" s="12">
        <f>IF($A43&lt;=0,0,0.125*_xlfn.NORM.S.DIST((LN($A43)-データ!$E$5)/データ!$E$10,TRUE())+0.25*_xlfn.NORM.S.DIST((LN($A43)-データ!$E$6)/データ!$E$10,TRUE())+0.25*_xlfn.NORM.S.DIST((LN($A43)-データ!$E$7)/データ!$E$10,TRUE())+0.25*_xlfn.NORM.S.DIST((LN($A43)-データ!$E$8)/データ!$E$10,TRUE())+0.125*_xlfn.NORM.S.DIST((LN($A43)-データ!$E$9)/データ!$E$10,TRUE()))</f>
        <v>0.58880978658853644</v>
      </c>
      <c r="F43" s="12">
        <f>IF($A43&lt;=0,0,0.125*_xlfn.NORM.S.DIST((LN($A43)-データ!$F$5)/データ!$F$10,TRUE())+0.25*_xlfn.NORM.S.DIST((LN($A43)-データ!$F$6)/データ!$F$10,TRUE())+0.25*_xlfn.NORM.S.DIST((LN($A43)-データ!$F$7)/データ!$F$10,TRUE())+0.25*_xlfn.NORM.S.DIST((LN($A43)-データ!$F$8)/データ!$F$10,TRUE())+0.125*_xlfn.NORM.S.DIST((LN($A43)-データ!$F$9)/データ!$F$10,TRUE()))</f>
        <v>0.73353111192387332</v>
      </c>
      <c r="G43" s="12">
        <f>IF($A43&lt;=0,0,0.125*_xlfn.NORM.S.DIST((LN($A43)-データ!$G$5)/データ!$G$10,TRUE())+0.25*_xlfn.NORM.S.DIST((LN($A43)-データ!$G$6)/データ!$G$10,TRUE())+0.25*_xlfn.NORM.S.DIST((LN($A43)-データ!$G$7)/データ!$G$10,TRUE())+0.25*_xlfn.NORM.S.DIST((LN($A43)-データ!$G$8)/データ!$G$10,TRUE())+0.125*_xlfn.NORM.S.DIST((LN($A43)-データ!$G$9)/データ!$G$10,TRUE()))</f>
        <v>0.53694660137805272</v>
      </c>
    </row>
    <row r="44" spans="1:7" ht="18.75">
      <c r="A44" s="6">
        <v>390</v>
      </c>
      <c r="B44" s="12">
        <f>IF($A44&lt;=0,0,0.125*_xlfn.NORM.S.DIST((LN($A44)-データ!$B$5)/データ!$B$10,TRUE())+0.25*_xlfn.NORM.S.DIST((LN($A44)-データ!$B$6)/データ!$B$10,TRUE())+0.375*_xlfn.NORM.S.DIST((LN($A44)-データ!$B$7)/データ!$B$10,TRUE()))</f>
        <v>0.50938621968580022</v>
      </c>
      <c r="C44" s="12">
        <f>IF($A44&lt;=0,0,0.125*_xlfn.NORM.S.DIST((LN($A44)-データ!$C$5)/データ!$C$10,TRUE())+0.25*_xlfn.NORM.S.DIST((LN($A44)-データ!$C$6)/データ!$C$10,TRUE())+0.375*_xlfn.NORM.S.DIST((LN($A44)-データ!$C$7)/データ!$C$10,TRUE()))</f>
        <v>0.46755397352297312</v>
      </c>
      <c r="D44" s="12">
        <f>IF($A44&lt;=0,0,0.125*_xlfn.NORM.S.DIST((LN($A44)-データ!$D$5)/データ!$D$10,TRUE())+0.25*_xlfn.NORM.S.DIST((LN($A44)-データ!$D$6)/データ!$D$10,TRUE())+0.375*_xlfn.NORM.S.DIST((LN($A44)-データ!$D$7)/データ!$D$10,TRUE()))</f>
        <v>0.59666100541923339</v>
      </c>
      <c r="E44" s="12">
        <f>IF($A44&lt;=0,0,0.125*_xlfn.NORM.S.DIST((LN($A44)-データ!$E$5)/データ!$E$10,TRUE())+0.25*_xlfn.NORM.S.DIST((LN($A44)-データ!$E$6)/データ!$E$10,TRUE())+0.25*_xlfn.NORM.S.DIST((LN($A44)-データ!$E$7)/データ!$E$10,TRUE())+0.25*_xlfn.NORM.S.DIST((LN($A44)-データ!$E$8)/データ!$E$10,TRUE())+0.125*_xlfn.NORM.S.DIST((LN($A44)-データ!$E$9)/データ!$E$10,TRUE()))</f>
        <v>0.59473102567260372</v>
      </c>
      <c r="F44" s="12">
        <f>IF($A44&lt;=0,0,0.125*_xlfn.NORM.S.DIST((LN($A44)-データ!$F$5)/データ!$F$10,TRUE())+0.25*_xlfn.NORM.S.DIST((LN($A44)-データ!$F$6)/データ!$F$10,TRUE())+0.25*_xlfn.NORM.S.DIST((LN($A44)-データ!$F$7)/データ!$F$10,TRUE())+0.25*_xlfn.NORM.S.DIST((LN($A44)-データ!$F$8)/データ!$F$10,TRUE())+0.125*_xlfn.NORM.S.DIST((LN($A44)-データ!$F$9)/データ!$F$10,TRUE()))</f>
        <v>0.73829830868532176</v>
      </c>
      <c r="G44" s="12">
        <f>IF($A44&lt;=0,0,0.125*_xlfn.NORM.S.DIST((LN($A44)-データ!$G$5)/データ!$G$10,TRUE())+0.25*_xlfn.NORM.S.DIST((LN($A44)-データ!$G$6)/データ!$G$10,TRUE())+0.25*_xlfn.NORM.S.DIST((LN($A44)-データ!$G$7)/データ!$G$10,TRUE())+0.25*_xlfn.NORM.S.DIST((LN($A44)-データ!$G$8)/データ!$G$10,TRUE())+0.125*_xlfn.NORM.S.DIST((LN($A44)-データ!$G$9)/データ!$G$10,TRUE()))</f>
        <v>0.54003986090734712</v>
      </c>
    </row>
    <row r="45" spans="1:7" ht="18.75">
      <c r="A45" s="6">
        <v>400</v>
      </c>
      <c r="B45" s="12">
        <f>IF($A45&lt;=0,0,0.125*_xlfn.NORM.S.DIST((LN($A45)-データ!$B$5)/データ!$B$10,TRUE())+0.25*_xlfn.NORM.S.DIST((LN($A45)-データ!$B$6)/データ!$B$10,TRUE())+0.375*_xlfn.NORM.S.DIST((LN($A45)-データ!$B$7)/データ!$B$10,TRUE()))</f>
        <v>0.51536434874173076</v>
      </c>
      <c r="C45" s="12">
        <f>IF($A45&lt;=0,0,0.125*_xlfn.NORM.S.DIST((LN($A45)-データ!$C$5)/データ!$C$10,TRUE())+0.25*_xlfn.NORM.S.DIST((LN($A45)-データ!$C$6)/データ!$C$10,TRUE())+0.375*_xlfn.NORM.S.DIST((LN($A45)-データ!$C$7)/データ!$C$10,TRUE()))</f>
        <v>0.4726618220680317</v>
      </c>
      <c r="D45" s="12">
        <f>IF($A45&lt;=0,0,0.125*_xlfn.NORM.S.DIST((LN($A45)-データ!$D$5)/データ!$D$10,TRUE())+0.25*_xlfn.NORM.S.DIST((LN($A45)-データ!$D$6)/データ!$D$10,TRUE())+0.375*_xlfn.NORM.S.DIST((LN($A45)-データ!$D$7)/データ!$D$10,TRUE()))</f>
        <v>0.60221624005111163</v>
      </c>
      <c r="E45" s="12">
        <f>IF($A45&lt;=0,0,0.125*_xlfn.NORM.S.DIST((LN($A45)-データ!$E$5)/データ!$E$10,TRUE())+0.25*_xlfn.NORM.S.DIST((LN($A45)-データ!$E$6)/データ!$E$10,TRUE())+0.25*_xlfn.NORM.S.DIST((LN($A45)-データ!$E$7)/データ!$E$10,TRUE())+0.25*_xlfn.NORM.S.DIST((LN($A45)-データ!$E$8)/データ!$E$10,TRUE())+0.125*_xlfn.NORM.S.DIST((LN($A45)-データ!$E$9)/データ!$E$10,TRUE()))</f>
        <v>0.60049225376398629</v>
      </c>
      <c r="F45" s="12">
        <f>IF($A45&lt;=0,0,0.125*_xlfn.NORM.S.DIST((LN($A45)-データ!$F$5)/データ!$F$10,TRUE())+0.25*_xlfn.NORM.S.DIST((LN($A45)-データ!$F$6)/データ!$F$10,TRUE())+0.25*_xlfn.NORM.S.DIST((LN($A45)-データ!$F$7)/データ!$F$10,TRUE())+0.25*_xlfn.NORM.S.DIST((LN($A45)-データ!$F$8)/データ!$F$10,TRUE())+0.125*_xlfn.NORM.S.DIST((LN($A45)-データ!$F$9)/データ!$F$10,TRUE()))</f>
        <v>0.7429076071827706</v>
      </c>
      <c r="G45" s="12">
        <f>IF($A45&lt;=0,0,0.125*_xlfn.NORM.S.DIST((LN($A45)-データ!$G$5)/データ!$G$10,TRUE())+0.25*_xlfn.NORM.S.DIST((LN($A45)-データ!$G$6)/データ!$G$10,TRUE())+0.25*_xlfn.NORM.S.DIST((LN($A45)-データ!$G$7)/データ!$G$10,TRUE())+0.25*_xlfn.NORM.S.DIST((LN($A45)-データ!$G$8)/データ!$G$10,TRUE())+0.125*_xlfn.NORM.S.DIST((LN($A45)-データ!$G$9)/データ!$G$10,TRUE()))</f>
        <v>0.54305542114639926</v>
      </c>
    </row>
    <row r="46" spans="1:7" ht="18.75">
      <c r="A46" s="6">
        <v>410</v>
      </c>
      <c r="B46" s="12">
        <f>IF($A46&lt;=0,0,0.125*_xlfn.NORM.S.DIST((LN($A46)-データ!$B$5)/データ!$B$10,TRUE())+0.25*_xlfn.NORM.S.DIST((LN($A46)-データ!$B$6)/データ!$B$10,TRUE())+0.375*_xlfn.NORM.S.DIST((LN($A46)-データ!$B$7)/データ!$B$10,TRUE()))</f>
        <v>0.52115330489167766</v>
      </c>
      <c r="C46" s="12">
        <f>IF($A46&lt;=0,0,0.125*_xlfn.NORM.S.DIST((LN($A46)-データ!$C$5)/データ!$C$10,TRUE())+0.25*_xlfn.NORM.S.DIST((LN($A46)-データ!$C$6)/データ!$C$10,TRUE())+0.375*_xlfn.NORM.S.DIST((LN($A46)-データ!$C$7)/データ!$C$10,TRUE()))</f>
        <v>0.47763109648198998</v>
      </c>
      <c r="D46" s="12">
        <f>IF($A46&lt;=0,0,0.125*_xlfn.NORM.S.DIST((LN($A46)-データ!$D$5)/データ!$D$10,TRUE())+0.25*_xlfn.NORM.S.DIST((LN($A46)-データ!$D$6)/データ!$D$10,TRUE())+0.375*_xlfn.NORM.S.DIST((LN($A46)-データ!$D$7)/データ!$D$10,TRUE()))</f>
        <v>0.6075273079501331</v>
      </c>
      <c r="E46" s="12">
        <f>IF($A46&lt;=0,0,0.125*_xlfn.NORM.S.DIST((LN($A46)-データ!$E$5)/データ!$E$10,TRUE())+0.25*_xlfn.NORM.S.DIST((LN($A46)-データ!$E$6)/データ!$E$10,TRUE())+0.25*_xlfn.NORM.S.DIST((LN($A46)-データ!$E$7)/データ!$E$10,TRUE())+0.25*_xlfn.NORM.S.DIST((LN($A46)-データ!$E$8)/データ!$E$10,TRUE())+0.125*_xlfn.NORM.S.DIST((LN($A46)-データ!$E$9)/データ!$E$10,TRUE()))</f>
        <v>0.60610020316962177</v>
      </c>
      <c r="F46" s="12">
        <f>IF($A46&lt;=0,0,0.125*_xlfn.NORM.S.DIST((LN($A46)-データ!$F$5)/データ!$F$10,TRUE())+0.25*_xlfn.NORM.S.DIST((LN($A46)-データ!$F$6)/データ!$F$10,TRUE())+0.25*_xlfn.NORM.S.DIST((LN($A46)-データ!$F$7)/データ!$F$10,TRUE())+0.25*_xlfn.NORM.S.DIST((LN($A46)-データ!$F$8)/データ!$F$10,TRUE())+0.125*_xlfn.NORM.S.DIST((LN($A46)-データ!$F$9)/データ!$F$10,TRUE()))</f>
        <v>0.74736701016189022</v>
      </c>
      <c r="G46" s="12">
        <f>IF($A46&lt;=0,0,0.125*_xlfn.NORM.S.DIST((LN($A46)-データ!$G$5)/データ!$G$10,TRUE())+0.25*_xlfn.NORM.S.DIST((LN($A46)-データ!$G$6)/データ!$G$10,TRUE())+0.25*_xlfn.NORM.S.DIST((LN($A46)-データ!$G$7)/データ!$G$10,TRUE())+0.25*_xlfn.NORM.S.DIST((LN($A46)-データ!$G$8)/データ!$G$10,TRUE())+0.125*_xlfn.NORM.S.DIST((LN($A46)-データ!$G$9)/データ!$G$10,TRUE()))</f>
        <v>0.54599690914746968</v>
      </c>
    </row>
    <row r="47" spans="1:7" ht="18.75">
      <c r="A47" s="6">
        <v>420</v>
      </c>
      <c r="B47" s="12">
        <f>IF($A47&lt;=0,0,0.125*_xlfn.NORM.S.DIST((LN($A47)-データ!$B$5)/データ!$B$10,TRUE())+0.25*_xlfn.NORM.S.DIST((LN($A47)-データ!$B$6)/データ!$B$10,TRUE())+0.375*_xlfn.NORM.S.DIST((LN($A47)-データ!$B$7)/データ!$B$10,TRUE()))</f>
        <v>0.52676024463481308</v>
      </c>
      <c r="C47" s="12">
        <f>IF($A47&lt;=0,0,0.125*_xlfn.NORM.S.DIST((LN($A47)-データ!$C$5)/データ!$C$10,TRUE())+0.25*_xlfn.NORM.S.DIST((LN($A47)-データ!$C$6)/データ!$C$10,TRUE())+0.375*_xlfn.NORM.S.DIST((LN($A47)-データ!$C$7)/データ!$C$10,TRUE()))</f>
        <v>0.48246718041211911</v>
      </c>
      <c r="D47" s="12">
        <f>IF($A47&lt;=0,0,0.125*_xlfn.NORM.S.DIST((LN($A47)-データ!$D$5)/データ!$D$10,TRUE())+0.25*_xlfn.NORM.S.DIST((LN($A47)-データ!$D$6)/データ!$D$10,TRUE())+0.375*_xlfn.NORM.S.DIST((LN($A47)-データ!$D$7)/データ!$D$10,TRUE()))</f>
        <v>0.61260661132561545</v>
      </c>
      <c r="E47" s="12">
        <f>IF($A47&lt;=0,0,0.125*_xlfn.NORM.S.DIST((LN($A47)-データ!$E$5)/データ!$E$10,TRUE())+0.25*_xlfn.NORM.S.DIST((LN($A47)-データ!$E$6)/データ!$E$10,TRUE())+0.25*_xlfn.NORM.S.DIST((LN($A47)-データ!$E$7)/データ!$E$10,TRUE())+0.25*_xlfn.NORM.S.DIST((LN($A47)-データ!$E$8)/データ!$E$10,TRUE())+0.125*_xlfn.NORM.S.DIST((LN($A47)-データ!$E$9)/データ!$E$10,TRUE()))</f>
        <v>0.61156121423850163</v>
      </c>
      <c r="F47" s="12">
        <f>IF($A47&lt;=0,0,0.125*_xlfn.NORM.S.DIST((LN($A47)-データ!$F$5)/データ!$F$10,TRUE())+0.25*_xlfn.NORM.S.DIST((LN($A47)-データ!$F$6)/データ!$F$10,TRUE())+0.25*_xlfn.NORM.S.DIST((LN($A47)-データ!$F$7)/データ!$F$10,TRUE())+0.25*_xlfn.NORM.S.DIST((LN($A47)-データ!$F$8)/データ!$F$10,TRUE())+0.125*_xlfn.NORM.S.DIST((LN($A47)-データ!$F$9)/データ!$F$10,TRUE()))</f>
        <v>0.75168396644271473</v>
      </c>
      <c r="G47" s="12">
        <f>IF($A47&lt;=0,0,0.125*_xlfn.NORM.S.DIST((LN($A47)-データ!$G$5)/データ!$G$10,TRUE())+0.25*_xlfn.NORM.S.DIST((LN($A47)-データ!$G$6)/データ!$G$10,TRUE())+0.25*_xlfn.NORM.S.DIST((LN($A47)-データ!$G$7)/データ!$G$10,TRUE())+0.25*_xlfn.NORM.S.DIST((LN($A47)-データ!$G$8)/データ!$G$10,TRUE())+0.125*_xlfn.NORM.S.DIST((LN($A47)-データ!$G$9)/データ!$G$10,TRUE()))</f>
        <v>0.5488677040035107</v>
      </c>
    </row>
    <row r="48" spans="1:7" ht="18.75">
      <c r="A48" s="6">
        <v>430</v>
      </c>
      <c r="B48" s="12">
        <f>IF($A48&lt;=0,0,0.125*_xlfn.NORM.S.DIST((LN($A48)-データ!$B$5)/データ!$B$10,TRUE())+0.25*_xlfn.NORM.S.DIST((LN($A48)-データ!$B$6)/データ!$B$10,TRUE())+0.375*_xlfn.NORM.S.DIST((LN($A48)-データ!$B$7)/データ!$B$10,TRUE()))</f>
        <v>0.53219202911221475</v>
      </c>
      <c r="C48" s="12">
        <f>IF($A48&lt;=0,0,0.125*_xlfn.NORM.S.DIST((LN($A48)-データ!$C$5)/データ!$C$10,TRUE())+0.25*_xlfn.NORM.S.DIST((LN($A48)-データ!$C$6)/データ!$C$10,TRUE())+0.375*_xlfn.NORM.S.DIST((LN($A48)-データ!$C$7)/データ!$C$10,TRUE()))</f>
        <v>0.48717516874216205</v>
      </c>
      <c r="D48" s="12">
        <f>IF($A48&lt;=0,0,0.125*_xlfn.NORM.S.DIST((LN($A48)-データ!$D$5)/データ!$D$10,TRUE())+0.25*_xlfn.NORM.S.DIST((LN($A48)-データ!$D$6)/データ!$D$10,TRUE())+0.375*_xlfn.NORM.S.DIST((LN($A48)-データ!$D$7)/データ!$D$10,TRUE()))</f>
        <v>0.61746586936183778</v>
      </c>
      <c r="E48" s="12">
        <f>IF($A48&lt;=0,0,0.125*_xlfn.NORM.S.DIST((LN($A48)-データ!$E$5)/データ!$E$10,TRUE())+0.25*_xlfn.NORM.S.DIST((LN($A48)-データ!$E$6)/データ!$E$10,TRUE())+0.25*_xlfn.NORM.S.DIST((LN($A48)-データ!$E$7)/データ!$E$10,TRUE())+0.25*_xlfn.NORM.S.DIST((LN($A48)-データ!$E$8)/データ!$E$10,TRUE())+0.125*_xlfn.NORM.S.DIST((LN($A48)-データ!$E$9)/データ!$E$10,TRUE()))</f>
        <v>0.61688126464811066</v>
      </c>
      <c r="F48" s="12">
        <f>IF($A48&lt;=0,0,0.125*_xlfn.NORM.S.DIST((LN($A48)-データ!$F$5)/データ!$F$10,TRUE())+0.25*_xlfn.NORM.S.DIST((LN($A48)-データ!$F$6)/データ!$F$10,TRUE())+0.25*_xlfn.NORM.S.DIST((LN($A48)-データ!$F$7)/データ!$F$10,TRUE())+0.25*_xlfn.NORM.S.DIST((LN($A48)-データ!$F$8)/データ!$F$10,TRUE())+0.125*_xlfn.NORM.S.DIST((LN($A48)-データ!$F$9)/データ!$F$10,TRUE()))</f>
        <v>0.7558654196625606</v>
      </c>
      <c r="G48" s="12">
        <f>IF($A48&lt;=0,0,0.125*_xlfn.NORM.S.DIST((LN($A48)-データ!$G$5)/データ!$G$10,TRUE())+0.25*_xlfn.NORM.S.DIST((LN($A48)-データ!$G$6)/データ!$G$10,TRUE())+0.25*_xlfn.NORM.S.DIST((LN($A48)-データ!$G$7)/データ!$G$10,TRUE())+0.25*_xlfn.NORM.S.DIST((LN($A48)-データ!$G$8)/データ!$G$10,TRUE())+0.125*_xlfn.NORM.S.DIST((LN($A48)-データ!$G$9)/データ!$G$10,TRUE()))</f>
        <v>0.55167095904216745</v>
      </c>
    </row>
    <row r="49" spans="1:7" ht="18.75">
      <c r="A49" s="6">
        <v>440</v>
      </c>
      <c r="B49" s="12">
        <f>IF($A49&lt;=0,0,0.125*_xlfn.NORM.S.DIST((LN($A49)-データ!$B$5)/データ!$B$10,TRUE())+0.25*_xlfn.NORM.S.DIST((LN($A49)-データ!$B$6)/データ!$B$10,TRUE())+0.375*_xlfn.NORM.S.DIST((LN($A49)-データ!$B$7)/データ!$B$10,TRUE()))</f>
        <v>0.53745523468165257</v>
      </c>
      <c r="C49" s="12">
        <f>IF($A49&lt;=0,0,0.125*_xlfn.NORM.S.DIST((LN($A49)-データ!$C$5)/データ!$C$10,TRUE())+0.25*_xlfn.NORM.S.DIST((LN($A49)-データ!$C$6)/データ!$C$10,TRUE())+0.375*_xlfn.NORM.S.DIST((LN($A49)-データ!$C$7)/データ!$C$10,TRUE()))</f>
        <v>0.49175988821304811</v>
      </c>
      <c r="D49" s="12">
        <f>IF($A49&lt;=0,0,0.125*_xlfn.NORM.S.DIST((LN($A49)-データ!$D$5)/データ!$D$10,TRUE())+0.25*_xlfn.NORM.S.DIST((LN($A49)-データ!$D$6)/データ!$D$10,TRUE())+0.375*_xlfn.NORM.S.DIST((LN($A49)-データ!$D$7)/データ!$D$10,TRUE()))</f>
        <v>0.62211615422022981</v>
      </c>
      <c r="E49" s="12">
        <f>IF($A49&lt;=0,0,0.125*_xlfn.NORM.S.DIST((LN($A49)-データ!$E$5)/データ!$E$10,TRUE())+0.25*_xlfn.NORM.S.DIST((LN($A49)-データ!$E$6)/データ!$E$10,TRUE())+0.25*_xlfn.NORM.S.DIST((LN($A49)-データ!$E$7)/データ!$E$10,TRUE())+0.25*_xlfn.NORM.S.DIST((LN($A49)-データ!$E$8)/データ!$E$10,TRUE())+0.125*_xlfn.NORM.S.DIST((LN($A49)-データ!$E$9)/データ!$E$10,TRUE()))</f>
        <v>0.62206599601979984</v>
      </c>
      <c r="F49" s="12">
        <f>IF($A49&lt;=0,0,0.125*_xlfn.NORM.S.DIST((LN($A49)-データ!$F$5)/データ!$F$10,TRUE())+0.25*_xlfn.NORM.S.DIST((LN($A49)-データ!$F$6)/データ!$F$10,TRUE())+0.25*_xlfn.NORM.S.DIST((LN($A49)-データ!$F$7)/データ!$F$10,TRUE())+0.25*_xlfn.NORM.S.DIST((LN($A49)-データ!$F$8)/データ!$F$10,TRUE())+0.125*_xlfn.NORM.S.DIST((LN($A49)-データ!$F$9)/データ!$F$10,TRUE()))</f>
        <v>0.75991785182107718</v>
      </c>
      <c r="G49" s="12">
        <f>IF($A49&lt;=0,0,0.125*_xlfn.NORM.S.DIST((LN($A49)-データ!$G$5)/データ!$G$10,TRUE())+0.25*_xlfn.NORM.S.DIST((LN($A49)-データ!$G$6)/データ!$G$10,TRUE())+0.25*_xlfn.NORM.S.DIST((LN($A49)-データ!$G$7)/データ!$G$10,TRUE())+0.25*_xlfn.NORM.S.DIST((LN($A49)-データ!$G$8)/データ!$G$10,TRUE())+0.125*_xlfn.NORM.S.DIST((LN($A49)-データ!$G$9)/データ!$G$10,TRUE()))</f>
        <v>0.55440962158006113</v>
      </c>
    </row>
    <row r="50" spans="1:7" ht="18.75">
      <c r="A50" s="6">
        <v>450</v>
      </c>
      <c r="B50" s="12">
        <f>IF($A50&lt;=0,0,0.125*_xlfn.NORM.S.DIST((LN($A50)-データ!$B$5)/データ!$B$10,TRUE())+0.25*_xlfn.NORM.S.DIST((LN($A50)-データ!$B$6)/データ!$B$10,TRUE())+0.375*_xlfn.NORM.S.DIST((LN($A50)-データ!$B$7)/データ!$B$10,TRUE()))</f>
        <v>0.5425561636102969</v>
      </c>
      <c r="C50" s="12">
        <f>IF($A50&lt;=0,0,0.125*_xlfn.NORM.S.DIST((LN($A50)-データ!$C$5)/データ!$C$10,TRUE())+0.25*_xlfn.NORM.S.DIST((LN($A50)-データ!$C$6)/データ!$C$10,TRUE())+0.375*_xlfn.NORM.S.DIST((LN($A50)-データ!$C$7)/データ!$C$10,TRUE()))</f>
        <v>0.49622591616107148</v>
      </c>
      <c r="D50" s="12">
        <f>IF($A50&lt;=0,0,0.125*_xlfn.NORM.S.DIST((LN($A50)-データ!$D$5)/データ!$D$10,TRUE())+0.25*_xlfn.NORM.S.DIST((LN($A50)-データ!$D$6)/データ!$D$10,TRUE())+0.375*_xlfn.NORM.S.DIST((LN($A50)-データ!$D$7)/データ!$D$10,TRUE()))</f>
        <v>0.62656792601842892</v>
      </c>
      <c r="E50" s="12">
        <f>IF($A50&lt;=0,0,0.125*_xlfn.NORM.S.DIST((LN($A50)-データ!$E$5)/データ!$E$10,TRUE())+0.25*_xlfn.NORM.S.DIST((LN($A50)-データ!$E$6)/データ!$E$10,TRUE())+0.25*_xlfn.NORM.S.DIST((LN($A50)-データ!$E$7)/データ!$E$10,TRUE())+0.25*_xlfn.NORM.S.DIST((LN($A50)-データ!$E$8)/データ!$E$10,TRUE())+0.125*_xlfn.NORM.S.DIST((LN($A50)-データ!$E$9)/データ!$E$10,TRUE()))</f>
        <v>0.62712073815032188</v>
      </c>
      <c r="F50" s="12">
        <f>IF($A50&lt;=0,0,0.125*_xlfn.NORM.S.DIST((LN($A50)-データ!$F$5)/データ!$F$10,TRUE())+0.25*_xlfn.NORM.S.DIST((LN($A50)-データ!$F$6)/データ!$F$10,TRUE())+0.25*_xlfn.NORM.S.DIST((LN($A50)-データ!$F$7)/データ!$F$10,TRUE())+0.25*_xlfn.NORM.S.DIST((LN($A50)-データ!$F$8)/データ!$F$10,TRUE())+0.125*_xlfn.NORM.S.DIST((LN($A50)-データ!$F$9)/データ!$F$10,TRUE()))</f>
        <v>0.76384732227688046</v>
      </c>
      <c r="G50" s="12">
        <f>IF($A50&lt;=0,0,0.125*_xlfn.NORM.S.DIST((LN($A50)-データ!$G$5)/データ!$G$10,TRUE())+0.25*_xlfn.NORM.S.DIST((LN($A50)-データ!$G$6)/データ!$G$10,TRUE())+0.25*_xlfn.NORM.S.DIST((LN($A50)-データ!$G$7)/データ!$G$10,TRUE())+0.25*_xlfn.NORM.S.DIST((LN($A50)-データ!$G$8)/データ!$G$10,TRUE())+0.125*_xlfn.NORM.S.DIST((LN($A50)-データ!$G$9)/データ!$G$10,TRUE()))</f>
        <v>0.55708645055349515</v>
      </c>
    </row>
    <row r="51" spans="1:7" ht="18.75">
      <c r="A51" s="6">
        <v>460</v>
      </c>
      <c r="B51" s="12">
        <f>IF($A51&lt;=0,0,0.125*_xlfn.NORM.S.DIST((LN($A51)-データ!$B$5)/データ!$B$10,TRUE())+0.25*_xlfn.NORM.S.DIST((LN($A51)-データ!$B$6)/データ!$B$10,TRUE())+0.375*_xlfn.NORM.S.DIST((LN($A51)-データ!$B$7)/データ!$B$10,TRUE()))</f>
        <v>0.54750085476377508</v>
      </c>
      <c r="C51" s="12">
        <f>IF($A51&lt;=0,0,0.125*_xlfn.NORM.S.DIST((LN($A51)-データ!$C$5)/データ!$C$10,TRUE())+0.25*_xlfn.NORM.S.DIST((LN($A51)-データ!$C$6)/データ!$C$10,TRUE())+0.375*_xlfn.NORM.S.DIST((LN($A51)-データ!$C$7)/データ!$C$10,TRUE()))</f>
        <v>0.50057759758426723</v>
      </c>
      <c r="D51" s="12">
        <f>IF($A51&lt;=0,0,0.125*_xlfn.NORM.S.DIST((LN($A51)-データ!$D$5)/データ!$D$10,TRUE())+0.25*_xlfn.NORM.S.DIST((LN($A51)-データ!$D$6)/データ!$D$10,TRUE())+0.375*_xlfn.NORM.S.DIST((LN($A51)-データ!$D$7)/データ!$D$10,TRUE()))</f>
        <v>0.63083106658814891</v>
      </c>
      <c r="E51" s="12">
        <f>IF($A51&lt;=0,0,0.125*_xlfn.NORM.S.DIST((LN($A51)-データ!$E$5)/データ!$E$10,TRUE())+0.25*_xlfn.NORM.S.DIST((LN($A51)-データ!$E$6)/データ!$E$10,TRUE())+0.25*_xlfn.NORM.S.DIST((LN($A51)-データ!$E$7)/データ!$E$10,TRUE())+0.25*_xlfn.NORM.S.DIST((LN($A51)-データ!$E$8)/データ!$E$10,TRUE())+0.125*_xlfn.NORM.S.DIST((LN($A51)-データ!$E$9)/データ!$E$10,TRUE()))</f>
        <v>0.63205053111123066</v>
      </c>
      <c r="F51" s="12">
        <f>IF($A51&lt;=0,0,0.125*_xlfn.NORM.S.DIST((LN($A51)-データ!$F$5)/データ!$F$10,TRUE())+0.25*_xlfn.NORM.S.DIST((LN($A51)-データ!$F$6)/データ!$F$10,TRUE())+0.25*_xlfn.NORM.S.DIST((LN($A51)-データ!$F$7)/データ!$F$10,TRUE())+0.25*_xlfn.NORM.S.DIST((LN($A51)-データ!$F$8)/データ!$F$10,TRUE())+0.125*_xlfn.NORM.S.DIST((LN($A51)-データ!$F$9)/データ!$F$10,TRUE()))</f>
        <v>0.76765950275246442</v>
      </c>
      <c r="G51" s="12">
        <f>IF($A51&lt;=0,0,0.125*_xlfn.NORM.S.DIST((LN($A51)-データ!$G$5)/データ!$G$10,TRUE())+0.25*_xlfn.NORM.S.DIST((LN($A51)-データ!$G$6)/データ!$G$10,TRUE())+0.25*_xlfn.NORM.S.DIST((LN($A51)-データ!$G$7)/データ!$G$10,TRUE())+0.25*_xlfn.NORM.S.DIST((LN($A51)-データ!$G$8)/データ!$G$10,TRUE())+0.125*_xlfn.NORM.S.DIST((LN($A51)-データ!$G$9)/データ!$G$10,TRUE()))</f>
        <v>0.55970403229477572</v>
      </c>
    </row>
    <row r="52" spans="1:7" ht="18.75">
      <c r="A52" s="6">
        <v>470</v>
      </c>
      <c r="B52" s="12">
        <f>IF($A52&lt;=0,0,0.125*_xlfn.NORM.S.DIST((LN($A52)-データ!$B$5)/データ!$B$10,TRUE())+0.25*_xlfn.NORM.S.DIST((LN($A52)-データ!$B$6)/データ!$B$10,TRUE())+0.375*_xlfn.NORM.S.DIST((LN($A52)-データ!$B$7)/データ!$B$10,TRUE()))</f>
        <v>0.55229509419680212</v>
      </c>
      <c r="C52" s="12">
        <f>IF($A52&lt;=0,0,0.125*_xlfn.NORM.S.DIST((LN($A52)-データ!$C$5)/データ!$C$10,TRUE())+0.25*_xlfn.NORM.S.DIST((LN($A52)-データ!$C$6)/データ!$C$10,TRUE())+0.375*_xlfn.NORM.S.DIST((LN($A52)-データ!$C$7)/データ!$C$10,TRUE()))</f>
        <v>0.50481906071985749</v>
      </c>
      <c r="D52" s="12">
        <f>IF($A52&lt;=0,0,0.125*_xlfn.NORM.S.DIST((LN($A52)-データ!$D$5)/データ!$D$10,TRUE())+0.25*_xlfn.NORM.S.DIST((LN($A52)-データ!$D$6)/データ!$D$10,TRUE())+0.375*_xlfn.NORM.S.DIST((LN($A52)-データ!$D$7)/データ!$D$10,TRUE()))</f>
        <v>0.63491491188063787</v>
      </c>
      <c r="E52" s="12">
        <f>IF($A52&lt;=0,0,0.125*_xlfn.NORM.S.DIST((LN($A52)-データ!$E$5)/データ!$E$10,TRUE())+0.25*_xlfn.NORM.S.DIST((LN($A52)-データ!$E$6)/データ!$E$10,TRUE())+0.25*_xlfn.NORM.S.DIST((LN($A52)-データ!$E$7)/データ!$E$10,TRUE())+0.25*_xlfn.NORM.S.DIST((LN($A52)-データ!$E$8)/データ!$E$10,TRUE())+0.125*_xlfn.NORM.S.DIST((LN($A52)-データ!$E$9)/データ!$E$10,TRUE()))</f>
        <v>0.63686014543728153</v>
      </c>
      <c r="F52" s="12">
        <f>IF($A52&lt;=0,0,0.125*_xlfn.NORM.S.DIST((LN($A52)-データ!$F$5)/データ!$F$10,TRUE())+0.25*_xlfn.NORM.S.DIST((LN($A52)-データ!$F$6)/データ!$F$10,TRUE())+0.25*_xlfn.NORM.S.DIST((LN($A52)-データ!$F$7)/データ!$F$10,TRUE())+0.25*_xlfn.NORM.S.DIST((LN($A52)-データ!$F$8)/データ!$F$10,TRUE())+0.125*_xlfn.NORM.S.DIST((LN($A52)-データ!$F$9)/データ!$F$10,TRUE()))</f>
        <v>0.77135970882620797</v>
      </c>
      <c r="G52" s="12">
        <f>IF($A52&lt;=0,0,0.125*_xlfn.NORM.S.DIST((LN($A52)-データ!$G$5)/データ!$G$10,TRUE())+0.25*_xlfn.NORM.S.DIST((LN($A52)-データ!$G$6)/データ!$G$10,TRUE())+0.25*_xlfn.NORM.S.DIST((LN($A52)-データ!$G$7)/データ!$G$10,TRUE())+0.25*_xlfn.NORM.S.DIST((LN($A52)-データ!$G$8)/データ!$G$10,TRUE())+0.125*_xlfn.NORM.S.DIST((LN($A52)-データ!$G$9)/データ!$G$10,TRUE()))</f>
        <v>0.56226479468423451</v>
      </c>
    </row>
    <row r="53" spans="1:7" ht="18.75">
      <c r="A53" s="6">
        <v>480</v>
      </c>
      <c r="B53" s="12">
        <f>IF($A53&lt;=0,0,0.125*_xlfn.NORM.S.DIST((LN($A53)-データ!$B$5)/データ!$B$10,TRUE())+0.25*_xlfn.NORM.S.DIST((LN($A53)-データ!$B$6)/データ!$B$10,TRUE())+0.375*_xlfn.NORM.S.DIST((LN($A53)-データ!$B$7)/データ!$B$10,TRUE()))</f>
        <v>0.55694442557232648</v>
      </c>
      <c r="C53" s="12">
        <f>IF($A53&lt;=0,0,0.125*_xlfn.NORM.S.DIST((LN($A53)-データ!$C$5)/データ!$C$10,TRUE())+0.25*_xlfn.NORM.S.DIST((LN($A53)-データ!$C$6)/データ!$C$10,TRUE())+0.375*_xlfn.NORM.S.DIST((LN($A53)-データ!$C$7)/データ!$C$10,TRUE()))</f>
        <v>0.50895423129199346</v>
      </c>
      <c r="D53" s="12">
        <f>IF($A53&lt;=0,0,0.125*_xlfn.NORM.S.DIST((LN($A53)-データ!$D$5)/データ!$D$10,TRUE())+0.25*_xlfn.NORM.S.DIST((LN($A53)-データ!$D$6)/データ!$D$10,TRUE())+0.375*_xlfn.NORM.S.DIST((LN($A53)-データ!$D$7)/データ!$D$10,TRUE()))</f>
        <v>0.6388282829399925</v>
      </c>
      <c r="E53" s="12">
        <f>IF($A53&lt;=0,0,0.125*_xlfn.NORM.S.DIST((LN($A53)-データ!$E$5)/データ!$E$10,TRUE())+0.25*_xlfn.NORM.S.DIST((LN($A53)-データ!$E$6)/データ!$E$10,TRUE())+0.25*_xlfn.NORM.S.DIST((LN($A53)-データ!$E$7)/データ!$E$10,TRUE())+0.25*_xlfn.NORM.S.DIST((LN($A53)-データ!$E$8)/データ!$E$10,TRUE())+0.125*_xlfn.NORM.S.DIST((LN($A53)-データ!$E$9)/データ!$E$10,TRUE()))</f>
        <v>0.64155410059860496</v>
      </c>
      <c r="F53" s="12">
        <f>IF($A53&lt;=0,0,0.125*_xlfn.NORM.S.DIST((LN($A53)-データ!$F$5)/データ!$F$10,TRUE())+0.25*_xlfn.NORM.S.DIST((LN($A53)-データ!$F$6)/データ!$F$10,TRUE())+0.25*_xlfn.NORM.S.DIST((LN($A53)-データ!$F$7)/データ!$F$10,TRUE())+0.25*_xlfn.NORM.S.DIST((LN($A53)-データ!$F$8)/データ!$F$10,TRUE())+0.125*_xlfn.NORM.S.DIST((LN($A53)-データ!$F$9)/データ!$F$10,TRUE()))</f>
        <v>0.7749529283246166</v>
      </c>
      <c r="G53" s="12">
        <f>IF($A53&lt;=0,0,0.125*_xlfn.NORM.S.DIST((LN($A53)-データ!$G$5)/データ!$G$10,TRUE())+0.25*_xlfn.NORM.S.DIST((LN($A53)-データ!$G$6)/データ!$G$10,TRUE())+0.25*_xlfn.NORM.S.DIST((LN($A53)-データ!$G$7)/データ!$G$10,TRUE())+0.25*_xlfn.NORM.S.DIST((LN($A53)-データ!$G$8)/データ!$G$10,TRUE())+0.125*_xlfn.NORM.S.DIST((LN($A53)-データ!$G$9)/データ!$G$10,TRUE()))</f>
        <v>0.56477101987530187</v>
      </c>
    </row>
    <row r="54" spans="1:7" ht="18.75">
      <c r="A54" s="6">
        <v>490</v>
      </c>
      <c r="B54" s="12">
        <f>IF($A54&lt;=0,0,0.125*_xlfn.NORM.S.DIST((LN($A54)-データ!$B$5)/データ!$B$10,TRUE())+0.25*_xlfn.NORM.S.DIST((LN($A54)-データ!$B$6)/データ!$B$10,TRUE())+0.375*_xlfn.NORM.S.DIST((LN($A54)-データ!$B$7)/データ!$B$10,TRUE()))</f>
        <v>0.56145416035372775</v>
      </c>
      <c r="C54" s="12">
        <f>IF($A54&lt;=0,0,0.125*_xlfn.NORM.S.DIST((LN($A54)-データ!$C$5)/データ!$C$10,TRUE())+0.25*_xlfn.NORM.S.DIST((LN($A54)-データ!$C$6)/データ!$C$10,TRUE())+0.375*_xlfn.NORM.S.DIST((LN($A54)-データ!$C$7)/データ!$C$10,TRUE()))</f>
        <v>0.51298684556888363</v>
      </c>
      <c r="D54" s="12">
        <f>IF($A54&lt;=0,0,0.125*_xlfn.NORM.S.DIST((LN($A54)-データ!$D$5)/データ!$D$10,TRUE())+0.25*_xlfn.NORM.S.DIST((LN($A54)-データ!$D$6)/データ!$D$10,TRUE())+0.375*_xlfn.NORM.S.DIST((LN($A54)-データ!$D$7)/データ!$D$10,TRUE()))</f>
        <v>0.64257951540399127</v>
      </c>
      <c r="E54" s="12">
        <f>IF($A54&lt;=0,0,0.125*_xlfn.NORM.S.DIST((LN($A54)-データ!$E$5)/データ!$E$10,TRUE())+0.25*_xlfn.NORM.S.DIST((LN($A54)-データ!$E$6)/データ!$E$10,TRUE())+0.25*_xlfn.NORM.S.DIST((LN($A54)-データ!$E$7)/データ!$E$10,TRUE())+0.25*_xlfn.NORM.S.DIST((LN($A54)-データ!$E$8)/データ!$E$10,TRUE())+0.125*_xlfn.NORM.S.DIST((LN($A54)-データ!$E$9)/データ!$E$10,TRUE()))</f>
        <v>0.6461366819286023</v>
      </c>
      <c r="F54" s="12">
        <f>IF($A54&lt;=0,0,0.125*_xlfn.NORM.S.DIST((LN($A54)-データ!$F$5)/データ!$F$10,TRUE())+0.25*_xlfn.NORM.S.DIST((LN($A54)-データ!$F$6)/データ!$F$10,TRUE())+0.25*_xlfn.NORM.S.DIST((LN($A54)-データ!$F$7)/データ!$F$10,TRUE())+0.25*_xlfn.NORM.S.DIST((LN($A54)-データ!$F$8)/データ!$F$10,TRUE())+0.125*_xlfn.NORM.S.DIST((LN($A54)-データ!$F$9)/データ!$F$10,TRUE()))</f>
        <v>0.77844384697238389</v>
      </c>
      <c r="G54" s="12">
        <f>IF($A54&lt;=0,0,0.125*_xlfn.NORM.S.DIST((LN($A54)-データ!$G$5)/データ!$G$10,TRUE())+0.25*_xlfn.NORM.S.DIST((LN($A54)-データ!$G$6)/データ!$G$10,TRUE())+0.25*_xlfn.NORM.S.DIST((LN($A54)-データ!$G$7)/データ!$G$10,TRUE())+0.25*_xlfn.NORM.S.DIST((LN($A54)-データ!$G$8)/データ!$G$10,TRUE())+0.125*_xlfn.NORM.S.DIST((LN($A54)-データ!$G$9)/データ!$G$10,TRUE()))</f>
        <v>0.5672248557624795</v>
      </c>
    </row>
    <row r="55" spans="1:7" ht="18.75">
      <c r="A55" s="6">
        <v>500</v>
      </c>
      <c r="B55" s="12">
        <f>IF($A55&lt;=0,0,0.125*_xlfn.NORM.S.DIST((LN($A55)-データ!$B$5)/データ!$B$10,TRUE())+0.25*_xlfn.NORM.S.DIST((LN($A55)-データ!$B$6)/データ!$B$10,TRUE())+0.375*_xlfn.NORM.S.DIST((LN($A55)-データ!$B$7)/データ!$B$10,TRUE()))</f>
        <v>0.56582938772882374</v>
      </c>
      <c r="C55" s="12">
        <f>IF($A55&lt;=0,0,0.125*_xlfn.NORM.S.DIST((LN($A55)-データ!$C$5)/データ!$C$10,TRUE())+0.25*_xlfn.NORM.S.DIST((LN($A55)-データ!$C$6)/データ!$C$10,TRUE())+0.375*_xlfn.NORM.S.DIST((LN($A55)-データ!$C$7)/データ!$C$10,TRUE()))</f>
        <v>0.51692046235119171</v>
      </c>
      <c r="D55" s="12">
        <f>IF($A55&lt;=0,0,0.125*_xlfn.NORM.S.DIST((LN($A55)-データ!$D$5)/データ!$D$10,TRUE())+0.25*_xlfn.NORM.S.DIST((LN($A55)-データ!$D$6)/データ!$D$10,TRUE())+0.375*_xlfn.NORM.S.DIST((LN($A55)-データ!$D$7)/データ!$D$10,TRUE()))</f>
        <v>0.64617648752202805</v>
      </c>
      <c r="E55" s="12">
        <f>IF($A55&lt;=0,0,0.125*_xlfn.NORM.S.DIST((LN($A55)-データ!$E$5)/データ!$E$10,TRUE())+0.25*_xlfn.NORM.S.DIST((LN($A55)-データ!$E$6)/データ!$E$10,TRUE())+0.25*_xlfn.NORM.S.DIST((LN($A55)-データ!$E$7)/データ!$E$10,TRUE())+0.25*_xlfn.NORM.S.DIST((LN($A55)-データ!$E$8)/データ!$E$10,TRUE())+0.125*_xlfn.NORM.S.DIST((LN($A55)-データ!$E$9)/データ!$E$10,TRUE()))</f>
        <v>0.6506119561597089</v>
      </c>
      <c r="F55" s="12">
        <f>IF($A55&lt;=0,0,0.125*_xlfn.NORM.S.DIST((LN($A55)-データ!$F$5)/データ!$F$10,TRUE())+0.25*_xlfn.NORM.S.DIST((LN($A55)-データ!$F$6)/データ!$F$10,TRUE())+0.25*_xlfn.NORM.S.DIST((LN($A55)-データ!$F$7)/データ!$F$10,TRUE())+0.25*_xlfn.NORM.S.DIST((LN($A55)-データ!$F$8)/データ!$F$10,TRUE())+0.125*_xlfn.NORM.S.DIST((LN($A55)-データ!$F$9)/データ!$F$10,TRUE()))</f>
        <v>0.78183687161068482</v>
      </c>
      <c r="G55" s="12">
        <f>IF($A55&lt;=0,0,0.125*_xlfn.NORM.S.DIST((LN($A55)-データ!$G$5)/データ!$G$10,TRUE())+0.25*_xlfn.NORM.S.DIST((LN($A55)-データ!$G$6)/データ!$G$10,TRUE())+0.25*_xlfn.NORM.S.DIST((LN($A55)-データ!$G$7)/データ!$G$10,TRUE())+0.25*_xlfn.NORM.S.DIST((LN($A55)-データ!$G$8)/データ!$G$10,TRUE())+0.125*_xlfn.NORM.S.DIST((LN($A55)-データ!$G$9)/データ!$G$10,TRUE()))</f>
        <v>0.56962832633885907</v>
      </c>
    </row>
    <row r="56" spans="1:7" ht="18.75">
      <c r="A56" s="6">
        <v>510</v>
      </c>
      <c r="B56" s="12">
        <f>IF($A56&lt;=0,0,0.125*_xlfn.NORM.S.DIST((LN($A56)-データ!$B$5)/データ!$B$10,TRUE())+0.25*_xlfn.NORM.S.DIST((LN($A56)-データ!$B$6)/データ!$B$10,TRUE())+0.375*_xlfn.NORM.S.DIST((LN($A56)-データ!$B$7)/データ!$B$10,TRUE()))</f>
        <v>0.57007498423590497</v>
      </c>
      <c r="C56" s="12">
        <f>IF($A56&lt;=0,0,0.125*_xlfn.NORM.S.DIST((LN($A56)-データ!$C$5)/データ!$C$10,TRUE())+0.25*_xlfn.NORM.S.DIST((LN($A56)-データ!$C$6)/データ!$C$10,TRUE())+0.375*_xlfn.NORM.S.DIST((LN($A56)-データ!$C$7)/データ!$C$10,TRUE()))</f>
        <v>0.52075847399881681</v>
      </c>
      <c r="D56" s="12">
        <f>IF($A56&lt;=0,0,0.125*_xlfn.NORM.S.DIST((LN($A56)-データ!$D$5)/データ!$D$10,TRUE())+0.25*_xlfn.NORM.S.DIST((LN($A56)-データ!$D$6)/データ!$D$10,TRUE())+0.375*_xlfn.NORM.S.DIST((LN($A56)-データ!$D$7)/データ!$D$10,TRUE()))</f>
        <v>0.64962664670215031</v>
      </c>
      <c r="E56" s="12">
        <f>IF($A56&lt;=0,0,0.125*_xlfn.NORM.S.DIST((LN($A56)-データ!$E$5)/データ!$E$10,TRUE())+0.25*_xlfn.NORM.S.DIST((LN($A56)-データ!$E$6)/データ!$E$10,TRUE())+0.25*_xlfn.NORM.S.DIST((LN($A56)-データ!$E$7)/データ!$E$10,TRUE())+0.25*_xlfn.NORM.S.DIST((LN($A56)-データ!$E$8)/データ!$E$10,TRUE())+0.125*_xlfn.NORM.S.DIST((LN($A56)-データ!$E$9)/データ!$E$10,TRUE()))</f>
        <v>0.65498378570194093</v>
      </c>
      <c r="F56" s="12">
        <f>IF($A56&lt;=0,0,0.125*_xlfn.NORM.S.DIST((LN($A56)-データ!$F$5)/データ!$F$10,TRUE())+0.25*_xlfn.NORM.S.DIST((LN($A56)-データ!$F$6)/データ!$F$10,TRUE())+0.25*_xlfn.NORM.S.DIST((LN($A56)-データ!$F$7)/データ!$F$10,TRUE())+0.25*_xlfn.NORM.S.DIST((LN($A56)-データ!$F$8)/データ!$F$10,TRUE())+0.125*_xlfn.NORM.S.DIST((LN($A56)-データ!$F$9)/データ!$F$10,TRUE()))</f>
        <v>0.78513615125391634</v>
      </c>
      <c r="G56" s="12">
        <f>IF($A56&lt;=0,0,0.125*_xlfn.NORM.S.DIST((LN($A56)-データ!$G$5)/データ!$G$10,TRUE())+0.25*_xlfn.NORM.S.DIST((LN($A56)-データ!$G$6)/データ!$G$10,TRUE())+0.25*_xlfn.NORM.S.DIST((LN($A56)-データ!$G$7)/データ!$G$10,TRUE())+0.25*_xlfn.NORM.S.DIST((LN($A56)-データ!$G$8)/データ!$G$10,TRUE())+0.125*_xlfn.NORM.S.DIST((LN($A56)-データ!$G$9)/データ!$G$10,TRUE()))</f>
        <v>0.57198334107020166</v>
      </c>
    </row>
    <row r="57" spans="1:7" ht="18.75">
      <c r="A57" s="6">
        <v>520</v>
      </c>
      <c r="B57" s="12">
        <f>IF($A57&lt;=0,0,0.125*_xlfn.NORM.S.DIST((LN($A57)-データ!$B$5)/データ!$B$10,TRUE())+0.25*_xlfn.NORM.S.DIST((LN($A57)-データ!$B$6)/データ!$B$10,TRUE())+0.375*_xlfn.NORM.S.DIST((LN($A57)-データ!$B$7)/データ!$B$10,TRUE()))</f>
        <v>0.57419562307124949</v>
      </c>
      <c r="C57" s="12">
        <f>IF($A57&lt;=0,0,0.125*_xlfn.NORM.S.DIST((LN($A57)-データ!$C$5)/データ!$C$10,TRUE())+0.25*_xlfn.NORM.S.DIST((LN($A57)-データ!$C$6)/データ!$C$10,TRUE())+0.375*_xlfn.NORM.S.DIST((LN($A57)-データ!$C$7)/データ!$C$10,TRUE()))</f>
        <v>0.52450411659046448</v>
      </c>
      <c r="D57" s="12">
        <f>IF($A57&lt;=0,0,0.125*_xlfn.NORM.S.DIST((LN($A57)-データ!$D$5)/データ!$D$10,TRUE())+0.25*_xlfn.NORM.S.DIST((LN($A57)-データ!$D$6)/データ!$D$10,TRUE())+0.375*_xlfn.NORM.S.DIST((LN($A57)-データ!$D$7)/データ!$D$10,TRUE()))</f>
        <v>0.65293703461580233</v>
      </c>
      <c r="E57" s="12">
        <f>IF($A57&lt;=0,0,0.125*_xlfn.NORM.S.DIST((LN($A57)-データ!$E$5)/データ!$E$10,TRUE())+0.25*_xlfn.NORM.S.DIST((LN($A57)-データ!$E$6)/データ!$E$10,TRUE())+0.25*_xlfn.NORM.S.DIST((LN($A57)-データ!$E$7)/データ!$E$10,TRUE())+0.25*_xlfn.NORM.S.DIST((LN($A57)-データ!$E$8)/データ!$E$10,TRUE())+0.125*_xlfn.NORM.S.DIST((LN($A57)-データ!$E$9)/データ!$E$10,TRUE()))</f>
        <v>0.65925584178411734</v>
      </c>
      <c r="F57" s="12">
        <f>IF($A57&lt;=0,0,0.125*_xlfn.NORM.S.DIST((LN($A57)-データ!$F$5)/データ!$F$10,TRUE())+0.25*_xlfn.NORM.S.DIST((LN($A57)-データ!$F$6)/データ!$F$10,TRUE())+0.25*_xlfn.NORM.S.DIST((LN($A57)-データ!$F$7)/データ!$F$10,TRUE())+0.25*_xlfn.NORM.S.DIST((LN($A57)-データ!$F$8)/データ!$F$10,TRUE())+0.125*_xlfn.NORM.S.DIST((LN($A57)-データ!$F$9)/データ!$F$10,TRUE()))</f>
        <v>0.7883455962207615</v>
      </c>
      <c r="G57" s="12">
        <f>IF($A57&lt;=0,0,0.125*_xlfn.NORM.S.DIST((LN($A57)-データ!$G$5)/データ!$G$10,TRUE())+0.25*_xlfn.NORM.S.DIST((LN($A57)-データ!$G$6)/データ!$G$10,TRUE())+0.25*_xlfn.NORM.S.DIST((LN($A57)-データ!$G$7)/データ!$G$10,TRUE())+0.25*_xlfn.NORM.S.DIST((LN($A57)-データ!$G$8)/データ!$G$10,TRUE())+0.125*_xlfn.NORM.S.DIST((LN($A57)-データ!$G$9)/データ!$G$10,TRUE()))</f>
        <v>0.57429170339590774</v>
      </c>
    </row>
    <row r="58" spans="1:7" ht="18.75">
      <c r="A58" s="6">
        <v>530</v>
      </c>
      <c r="B58" s="12">
        <f>IF($A58&lt;=0,0,0.125*_xlfn.NORM.S.DIST((LN($A58)-データ!$B$5)/データ!$B$10,TRUE())+0.25*_xlfn.NORM.S.DIST((LN($A58)-データ!$B$6)/データ!$B$10,TRUE())+0.375*_xlfn.NORM.S.DIST((LN($A58)-データ!$B$7)/データ!$B$10,TRUE()))</f>
        <v>0.57819578306494956</v>
      </c>
      <c r="C58" s="12">
        <f>IF($A58&lt;=0,0,0.125*_xlfn.NORM.S.DIST((LN($A58)-データ!$C$5)/データ!$C$10,TRUE())+0.25*_xlfn.NORM.S.DIST((LN($A58)-データ!$C$6)/データ!$C$10,TRUE())+0.375*_xlfn.NORM.S.DIST((LN($A58)-データ!$C$7)/データ!$C$10,TRUE()))</f>
        <v>0.5281604792994431</v>
      </c>
      <c r="D58" s="12">
        <f>IF($A58&lt;=0,0,0.125*_xlfn.NORM.S.DIST((LN($A58)-データ!$D$5)/データ!$D$10,TRUE())+0.25*_xlfn.NORM.S.DIST((LN($A58)-データ!$D$6)/データ!$D$10,TRUE())+0.375*_xlfn.NORM.S.DIST((LN($A58)-データ!$D$7)/データ!$D$10,TRUE()))</f>
        <v>0.65611431090085448</v>
      </c>
      <c r="E58" s="12">
        <f>IF($A58&lt;=0,0,0.125*_xlfn.NORM.S.DIST((LN($A58)-データ!$E$5)/データ!$E$10,TRUE())+0.25*_xlfn.NORM.S.DIST((LN($A58)-データ!$E$6)/データ!$E$10,TRUE())+0.25*_xlfn.NORM.S.DIST((LN($A58)-データ!$E$7)/データ!$E$10,TRUE())+0.25*_xlfn.NORM.S.DIST((LN($A58)-データ!$E$8)/データ!$E$10,TRUE())+0.125*_xlfn.NORM.S.DIST((LN($A58)-データ!$E$9)/データ!$E$10,TRUE()))</f>
        <v>0.66343161656450111</v>
      </c>
      <c r="F58" s="12">
        <f>IF($A58&lt;=0,0,0.125*_xlfn.NORM.S.DIST((LN($A58)-データ!$F$5)/データ!$F$10,TRUE())+0.25*_xlfn.NORM.S.DIST((LN($A58)-データ!$F$6)/データ!$F$10,TRUE())+0.25*_xlfn.NORM.S.DIST((LN($A58)-データ!$F$7)/データ!$F$10,TRUE())+0.25*_xlfn.NORM.S.DIST((LN($A58)-データ!$F$8)/データ!$F$10,TRUE())+0.125*_xlfn.NORM.S.DIST((LN($A58)-データ!$F$9)/データ!$F$10,TRUE()))</f>
        <v>0.79146889554599975</v>
      </c>
      <c r="G58" s="12">
        <f>IF($A58&lt;=0,0,0.125*_xlfn.NORM.S.DIST((LN($A58)-データ!$G$5)/データ!$G$10,TRUE())+0.25*_xlfn.NORM.S.DIST((LN($A58)-データ!$G$6)/データ!$G$10,TRUE())+0.25*_xlfn.NORM.S.DIST((LN($A58)-データ!$G$7)/データ!$G$10,TRUE())+0.25*_xlfn.NORM.S.DIST((LN($A58)-データ!$G$8)/データ!$G$10,TRUE())+0.125*_xlfn.NORM.S.DIST((LN($A58)-データ!$G$9)/データ!$G$10,TRUE()))</f>
        <v>0.57655511845299456</v>
      </c>
    </row>
    <row r="59" spans="1:7" ht="18.75">
      <c r="A59" s="6">
        <v>540</v>
      </c>
      <c r="B59" s="12">
        <f>IF($A59&lt;=0,0,0.125*_xlfn.NORM.S.DIST((LN($A59)-データ!$B$5)/データ!$B$10,TRUE())+0.25*_xlfn.NORM.S.DIST((LN($A59)-データ!$B$6)/データ!$B$10,TRUE())+0.375*_xlfn.NORM.S.DIST((LN($A59)-データ!$B$7)/データ!$B$10,TRUE()))</f>
        <v>0.58207975731778161</v>
      </c>
      <c r="C59" s="12">
        <f>IF($A59&lt;=0,0,0.125*_xlfn.NORM.S.DIST((LN($A59)-データ!$C$5)/データ!$C$10,TRUE())+0.25*_xlfn.NORM.S.DIST((LN($A59)-データ!$C$6)/データ!$C$10,TRUE())+0.375*_xlfn.NORM.S.DIST((LN($A59)-データ!$C$7)/データ!$C$10,TRUE()))</f>
        <v>0.53173051305961094</v>
      </c>
      <c r="D59" s="12">
        <f>IF($A59&lt;=0,0,0.125*_xlfn.NORM.S.DIST((LN($A59)-データ!$D$5)/データ!$D$10,TRUE())+0.25*_xlfn.NORM.S.DIST((LN($A59)-データ!$D$6)/データ!$D$10,TRUE())+0.375*_xlfn.NORM.S.DIST((LN($A59)-データ!$D$7)/データ!$D$10,TRUE()))</f>
        <v>0.65916477551191588</v>
      </c>
      <c r="E59" s="12">
        <f>IF($A59&lt;=0,0,0.125*_xlfn.NORM.S.DIST((LN($A59)-データ!$E$5)/データ!$E$10,TRUE())+0.25*_xlfn.NORM.S.DIST((LN($A59)-データ!$E$6)/データ!$E$10,TRUE())+0.25*_xlfn.NORM.S.DIST((LN($A59)-データ!$E$7)/データ!$E$10,TRUE())+0.25*_xlfn.NORM.S.DIST((LN($A59)-データ!$E$8)/データ!$E$10,TRUE())+0.125*_xlfn.NORM.S.DIST((LN($A59)-データ!$E$9)/データ!$E$10,TRUE()))</f>
        <v>0.66751443430609914</v>
      </c>
      <c r="F59" s="12">
        <f>IF($A59&lt;=0,0,0.125*_xlfn.NORM.S.DIST((LN($A59)-データ!$F$5)/データ!$F$10,TRUE())+0.25*_xlfn.NORM.S.DIST((LN($A59)-データ!$F$6)/データ!$F$10,TRUE())+0.25*_xlfn.NORM.S.DIST((LN($A59)-データ!$F$7)/データ!$F$10,TRUE())+0.25*_xlfn.NORM.S.DIST((LN($A59)-データ!$F$8)/データ!$F$10,TRUE())+0.125*_xlfn.NORM.S.DIST((LN($A59)-データ!$F$9)/データ!$F$10,TRUE()))</f>
        <v>0.79450953285417769</v>
      </c>
      <c r="G59" s="12">
        <f>IF($A59&lt;=0,0,0.125*_xlfn.NORM.S.DIST((LN($A59)-データ!$G$5)/データ!$G$10,TRUE())+0.25*_xlfn.NORM.S.DIST((LN($A59)-データ!$G$6)/データ!$G$10,TRUE())+0.25*_xlfn.NORM.S.DIST((LN($A59)-データ!$G$7)/データ!$G$10,TRUE())+0.25*_xlfn.NORM.S.DIST((LN($A59)-データ!$G$8)/データ!$G$10,TRUE())+0.125*_xlfn.NORM.S.DIST((LN($A59)-データ!$G$9)/データ!$G$10,TRUE()))</f>
        <v>0.57877520010703609</v>
      </c>
    </row>
    <row r="60" spans="1:7" ht="18.75">
      <c r="A60" s="6">
        <v>550</v>
      </c>
      <c r="B60" s="12">
        <f>IF($A60&lt;=0,0,0.125*_xlfn.NORM.S.DIST((LN($A60)-データ!$B$5)/データ!$B$10,TRUE())+0.25*_xlfn.NORM.S.DIST((LN($A60)-データ!$B$6)/データ!$B$10,TRUE())+0.375*_xlfn.NORM.S.DIST((LN($A60)-データ!$B$7)/データ!$B$10,TRUE()))</f>
        <v>0.58585166149652856</v>
      </c>
      <c r="C60" s="12">
        <f>IF($A60&lt;=0,0,0.125*_xlfn.NORM.S.DIST((LN($A60)-データ!$C$5)/データ!$C$10,TRUE())+0.25*_xlfn.NORM.S.DIST((LN($A60)-データ!$C$6)/データ!$C$10,TRUE())+0.375*_xlfn.NORM.S.DIST((LN($A60)-データ!$C$7)/データ!$C$10,TRUE()))</f>
        <v>0.5352170385871442</v>
      </c>
      <c r="D60" s="12">
        <f>IF($A60&lt;=0,0,0.125*_xlfn.NORM.S.DIST((LN($A60)-データ!$D$5)/データ!$D$10,TRUE())+0.25*_xlfn.NORM.S.DIST((LN($A60)-データ!$D$6)/データ!$D$10,TRUE())+0.375*_xlfn.NORM.S.DIST((LN($A60)-データ!$D$7)/データ!$D$10,TRUE()))</f>
        <v>0.66209438977255286</v>
      </c>
      <c r="E60" s="12">
        <f>IF($A60&lt;=0,0,0.125*_xlfn.NORM.S.DIST((LN($A60)-データ!$E$5)/データ!$E$10,TRUE())+0.25*_xlfn.NORM.S.DIST((LN($A60)-データ!$E$6)/データ!$E$10,TRUE())+0.25*_xlfn.NORM.S.DIST((LN($A60)-データ!$E$7)/データ!$E$10,TRUE())+0.25*_xlfn.NORM.S.DIST((LN($A60)-データ!$E$8)/データ!$E$10,TRUE())+0.125*_xlfn.NORM.S.DIST((LN($A60)-データ!$E$9)/データ!$E$10,TRUE()))</f>
        <v>0.67150746170173281</v>
      </c>
      <c r="F60" s="12">
        <f>IF($A60&lt;=0,0,0.125*_xlfn.NORM.S.DIST((LN($A60)-データ!$F$5)/データ!$F$10,TRUE())+0.25*_xlfn.NORM.S.DIST((LN($A60)-データ!$F$6)/データ!$F$10,TRUE())+0.25*_xlfn.NORM.S.DIST((LN($A60)-データ!$F$7)/データ!$F$10,TRUE())+0.25*_xlfn.NORM.S.DIST((LN($A60)-データ!$F$8)/データ!$F$10,TRUE())+0.125*_xlfn.NORM.S.DIST((LN($A60)-データ!$F$9)/データ!$F$10,TRUE()))</f>
        <v>0.79747080085441246</v>
      </c>
      <c r="G60" s="12">
        <f>IF($A60&lt;=0,0,0.125*_xlfn.NORM.S.DIST((LN($A60)-データ!$G$5)/データ!$G$10,TRUE())+0.25*_xlfn.NORM.S.DIST((LN($A60)-データ!$G$6)/データ!$G$10,TRUE())+0.25*_xlfn.NORM.S.DIST((LN($A60)-データ!$G$7)/データ!$G$10,TRUE())+0.25*_xlfn.NORM.S.DIST((LN($A60)-データ!$G$8)/データ!$G$10,TRUE())+0.125*_xlfn.NORM.S.DIST((LN($A60)-データ!$G$9)/データ!$G$10,TRUE()))</f>
        <v>0.58095347736360381</v>
      </c>
    </row>
    <row r="61" spans="1:7" ht="18.75">
      <c r="A61" s="6">
        <v>560</v>
      </c>
      <c r="B61" s="12">
        <f>IF($A61&lt;=0,0,0.125*_xlfn.NORM.S.DIST((LN($A61)-データ!$B$5)/データ!$B$10,TRUE())+0.25*_xlfn.NORM.S.DIST((LN($A61)-データ!$B$6)/データ!$B$10,TRUE())+0.375*_xlfn.NORM.S.DIST((LN($A61)-データ!$B$7)/データ!$B$10,TRUE()))</f>
        <v>0.58951544178883508</v>
      </c>
      <c r="C61" s="12">
        <f>IF($A61&lt;=0,0,0.125*_xlfn.NORM.S.DIST((LN($A61)-データ!$C$5)/データ!$C$10,TRUE())+0.25*_xlfn.NORM.S.DIST((LN($A61)-データ!$C$6)/データ!$C$10,TRUE())+0.375*_xlfn.NORM.S.DIST((LN($A61)-データ!$C$7)/データ!$C$10,TRUE()))</f>
        <v>0.53862275381660019</v>
      </c>
      <c r="D61" s="12">
        <f>IF($A61&lt;=0,0,0.125*_xlfn.NORM.S.DIST((LN($A61)-データ!$D$5)/データ!$D$10,TRUE())+0.25*_xlfn.NORM.S.DIST((LN($A61)-データ!$D$6)/データ!$D$10,TRUE())+0.375*_xlfn.NORM.S.DIST((LN($A61)-データ!$D$7)/データ!$D$10,TRUE()))</f>
        <v>0.66490879618750109</v>
      </c>
      <c r="E61" s="12">
        <f>IF($A61&lt;=0,0,0.125*_xlfn.NORM.S.DIST((LN($A61)-データ!$E$5)/データ!$E$10,TRUE())+0.25*_xlfn.NORM.S.DIST((LN($A61)-データ!$E$6)/データ!$E$10,TRUE())+0.25*_xlfn.NORM.S.DIST((LN($A61)-データ!$E$7)/データ!$E$10,TRUE())+0.25*_xlfn.NORM.S.DIST((LN($A61)-データ!$E$8)/データ!$E$10,TRUE())+0.125*_xlfn.NORM.S.DIST((LN($A61)-データ!$E$9)/データ!$E$10,TRUE()))</f>
        <v>0.67541371742510692</v>
      </c>
      <c r="F61" s="12">
        <f>IF($A61&lt;=0,0,0.125*_xlfn.NORM.S.DIST((LN($A61)-データ!$F$5)/データ!$F$10,TRUE())+0.25*_xlfn.NORM.S.DIST((LN($A61)-データ!$F$6)/データ!$F$10,TRUE())+0.25*_xlfn.NORM.S.DIST((LN($A61)-データ!$F$7)/データ!$F$10,TRUE())+0.25*_xlfn.NORM.S.DIST((LN($A61)-データ!$F$8)/データ!$F$10,TRUE())+0.125*_xlfn.NORM.S.DIST((LN($A61)-データ!$F$9)/データ!$F$10,TRUE()))</f>
        <v>0.80035581459673921</v>
      </c>
      <c r="G61" s="12">
        <f>IF($A61&lt;=0,0,0.125*_xlfn.NORM.S.DIST((LN($A61)-データ!$G$5)/データ!$G$10,TRUE())+0.25*_xlfn.NORM.S.DIST((LN($A61)-データ!$G$6)/データ!$G$10,TRUE())+0.25*_xlfn.NORM.S.DIST((LN($A61)-データ!$G$7)/データ!$G$10,TRUE())+0.25*_xlfn.NORM.S.DIST((LN($A61)-データ!$G$8)/データ!$G$10,TRUE())+0.125*_xlfn.NORM.S.DIST((LN($A61)-データ!$G$9)/データ!$G$10,TRUE()))</f>
        <v>0.58309140022476513</v>
      </c>
    </row>
    <row r="62" spans="1:7" ht="18.75">
      <c r="A62" s="6">
        <v>570</v>
      </c>
      <c r="B62" s="12">
        <f>IF($A62&lt;=0,0,0.125*_xlfn.NORM.S.DIST((LN($A62)-データ!$B$5)/データ!$B$10,TRUE())+0.25*_xlfn.NORM.S.DIST((LN($A62)-データ!$B$6)/データ!$B$10,TRUE())+0.375*_xlfn.NORM.S.DIST((LN($A62)-データ!$B$7)/データ!$B$10,TRUE()))</f>
        <v>0.59307488252155349</v>
      </c>
      <c r="C62" s="12">
        <f>IF($A62&lt;=0,0,0.125*_xlfn.NORM.S.DIST((LN($A62)-データ!$C$5)/データ!$C$10,TRUE())+0.25*_xlfn.NORM.S.DIST((LN($A62)-データ!$C$6)/データ!$C$10,TRUE())+0.375*_xlfn.NORM.S.DIST((LN($A62)-データ!$C$7)/データ!$C$10,TRUE()))</f>
        <v>0.54195024080345811</v>
      </c>
      <c r="D62" s="12">
        <f>IF($A62&lt;=0,0,0.125*_xlfn.NORM.S.DIST((LN($A62)-データ!$D$5)/データ!$D$10,TRUE())+0.25*_xlfn.NORM.S.DIST((LN($A62)-データ!$D$6)/データ!$D$10,TRUE())+0.375*_xlfn.NORM.S.DIST((LN($A62)-データ!$D$7)/データ!$D$10,TRUE()))</f>
        <v>0.66761333707476966</v>
      </c>
      <c r="E62" s="12">
        <f>IF($A62&lt;=0,0,0.125*_xlfn.NORM.S.DIST((LN($A62)-データ!$E$5)/データ!$E$10,TRUE())+0.25*_xlfn.NORM.S.DIST((LN($A62)-データ!$E$6)/データ!$E$10,TRUE())+0.25*_xlfn.NORM.S.DIST((LN($A62)-データ!$E$7)/データ!$E$10,TRUE())+0.25*_xlfn.NORM.S.DIST((LN($A62)-データ!$E$8)/データ!$E$10,TRUE())+0.125*_xlfn.NORM.S.DIST((LN($A62)-データ!$E$9)/データ!$E$10,TRUE()))</f>
        <v>0.67923608097623023</v>
      </c>
      <c r="F62" s="12">
        <f>IF($A62&lt;=0,0,0.125*_xlfn.NORM.S.DIST((LN($A62)-データ!$F$5)/データ!$F$10,TRUE())+0.25*_xlfn.NORM.S.DIST((LN($A62)-データ!$F$6)/データ!$F$10,TRUE())+0.25*_xlfn.NORM.S.DIST((LN($A62)-データ!$F$7)/データ!$F$10,TRUE())+0.25*_xlfn.NORM.S.DIST((LN($A62)-データ!$F$8)/データ!$F$10,TRUE())+0.125*_xlfn.NORM.S.DIST((LN($A62)-データ!$F$9)/データ!$F$10,TRUE()))</f>
        <v>0.8031675236140412</v>
      </c>
      <c r="G62" s="12">
        <f>IF($A62&lt;=0,0,0.125*_xlfn.NORM.S.DIST((LN($A62)-データ!$G$5)/データ!$G$10,TRUE())+0.25*_xlfn.NORM.S.DIST((LN($A62)-データ!$G$6)/データ!$G$10,TRUE())+0.25*_xlfn.NORM.S.DIST((LN($A62)-データ!$G$7)/データ!$G$10,TRUE())+0.25*_xlfn.NORM.S.DIST((LN($A62)-データ!$G$8)/データ!$G$10,TRUE())+0.125*_xlfn.NORM.S.DIST((LN($A62)-データ!$G$9)/データ!$G$10,TRUE()))</f>
        <v>0.58519034504747347</v>
      </c>
    </row>
    <row r="63" spans="1:7" ht="18.75">
      <c r="A63" s="6">
        <v>580</v>
      </c>
      <c r="B63" s="12">
        <f>IF($A63&lt;=0,0,0.125*_xlfn.NORM.S.DIST((LN($A63)-データ!$B$5)/データ!$B$10,TRUE())+0.25*_xlfn.NORM.S.DIST((LN($A63)-データ!$B$6)/データ!$B$10,TRUE())+0.375*_xlfn.NORM.S.DIST((LN($A63)-データ!$B$7)/データ!$B$10,TRUE()))</f>
        <v>0.59653361344874289</v>
      </c>
      <c r="C63" s="12">
        <f>IF($A63&lt;=0,0,0.125*_xlfn.NORM.S.DIST((LN($A63)-データ!$C$5)/データ!$C$10,TRUE())+0.25*_xlfn.NORM.S.DIST((LN($A63)-データ!$C$6)/データ!$C$10,TRUE())+0.375*_xlfn.NORM.S.DIST((LN($A63)-データ!$C$7)/データ!$C$10,TRUE()))</f>
        <v>0.54520197213982002</v>
      </c>
      <c r="D63" s="12">
        <f>IF($A63&lt;=0,0,0.125*_xlfn.NORM.S.DIST((LN($A63)-データ!$D$5)/データ!$D$10,TRUE())+0.25*_xlfn.NORM.S.DIST((LN($A63)-データ!$D$6)/データ!$D$10,TRUE())+0.375*_xlfn.NORM.S.DIST((LN($A63)-データ!$D$7)/データ!$D$10,TRUE()))</f>
        <v>0.67021307207808256</v>
      </c>
      <c r="E63" s="12">
        <f>IF($A63&lt;=0,0,0.125*_xlfn.NORM.S.DIST((LN($A63)-データ!$E$5)/データ!$E$10,TRUE())+0.25*_xlfn.NORM.S.DIST((LN($A63)-データ!$E$6)/データ!$E$10,TRUE())+0.25*_xlfn.NORM.S.DIST((LN($A63)-データ!$E$7)/データ!$E$10,TRUE())+0.25*_xlfn.NORM.S.DIST((LN($A63)-データ!$E$8)/データ!$E$10,TRUE())+0.125*_xlfn.NORM.S.DIST((LN($A63)-データ!$E$9)/データ!$E$10,TRUE()))</f>
        <v>0.68297730088262154</v>
      </c>
      <c r="F63" s="12">
        <f>IF($A63&lt;=0,0,0.125*_xlfn.NORM.S.DIST((LN($A63)-データ!$F$5)/データ!$F$10,TRUE())+0.25*_xlfn.NORM.S.DIST((LN($A63)-データ!$F$6)/データ!$F$10,TRUE())+0.25*_xlfn.NORM.S.DIST((LN($A63)-データ!$F$7)/データ!$F$10,TRUE())+0.25*_xlfn.NORM.S.DIST((LN($A63)-データ!$F$8)/データ!$F$10,TRUE())+0.125*_xlfn.NORM.S.DIST((LN($A63)-データ!$F$9)/データ!$F$10,TRUE()))</f>
        <v>0.80590872305938777</v>
      </c>
      <c r="G63" s="12">
        <f>IF($A63&lt;=0,0,0.125*_xlfn.NORM.S.DIST((LN($A63)-データ!$G$5)/データ!$G$10,TRUE())+0.25*_xlfn.NORM.S.DIST((LN($A63)-データ!$G$6)/データ!$G$10,TRUE())+0.25*_xlfn.NORM.S.DIST((LN($A63)-データ!$G$7)/データ!$G$10,TRUE())+0.25*_xlfn.NORM.S.DIST((LN($A63)-データ!$G$8)/データ!$G$10,TRUE())+0.125*_xlfn.NORM.S.DIST((LN($A63)-データ!$G$9)/データ!$G$10,TRUE()))</f>
        <v>0.58725161945397875</v>
      </c>
    </row>
    <row r="64" spans="1:7" ht="18.75">
      <c r="A64" s="6">
        <v>590</v>
      </c>
      <c r="B64" s="12">
        <f>IF($A64&lt;=0,0,0.125*_xlfn.NORM.S.DIST((LN($A64)-データ!$B$5)/データ!$B$10,TRUE())+0.25*_xlfn.NORM.S.DIST((LN($A64)-データ!$B$6)/データ!$B$10,TRUE())+0.375*_xlfn.NORM.S.DIST((LN($A64)-データ!$B$7)/データ!$B$10,TRUE()))</f>
        <v>0.59989511671715889</v>
      </c>
      <c r="C64" s="12">
        <f>IF($A64&lt;=0,0,0.125*_xlfn.NORM.S.DIST((LN($A64)-データ!$C$5)/データ!$C$10,TRUE())+0.25*_xlfn.NORM.S.DIST((LN($A64)-データ!$C$6)/データ!$C$10,TRUE())+0.375*_xlfn.NORM.S.DIST((LN($A64)-データ!$C$7)/データ!$C$10,TRUE()))</f>
        <v>0.54838031692511069</v>
      </c>
      <c r="D64" s="12">
        <f>IF($A64&lt;=0,0,0.125*_xlfn.NORM.S.DIST((LN($A64)-データ!$D$5)/データ!$D$10,TRUE())+0.25*_xlfn.NORM.S.DIST((LN($A64)-データ!$D$6)/データ!$D$10,TRUE())+0.375*_xlfn.NORM.S.DIST((LN($A64)-データ!$D$7)/データ!$D$10,TRUE()))</f>
        <v>0.67271279461969746</v>
      </c>
      <c r="E64" s="12">
        <f>IF($A64&lt;=0,0,0.125*_xlfn.NORM.S.DIST((LN($A64)-データ!$E$5)/データ!$E$10,TRUE())+0.25*_xlfn.NORM.S.DIST((LN($A64)-データ!$E$6)/データ!$E$10,TRUE())+0.25*_xlfn.NORM.S.DIST((LN($A64)-データ!$E$7)/データ!$E$10,TRUE())+0.25*_xlfn.NORM.S.DIST((LN($A64)-データ!$E$8)/データ!$E$10,TRUE())+0.125*_xlfn.NORM.S.DIST((LN($A64)-データ!$E$9)/データ!$E$10,TRUE()))</f>
        <v>0.68664000231157951</v>
      </c>
      <c r="F64" s="12">
        <f>IF($A64&lt;=0,0,0.125*_xlfn.NORM.S.DIST((LN($A64)-データ!$F$5)/データ!$F$10,TRUE())+0.25*_xlfn.NORM.S.DIST((LN($A64)-データ!$F$6)/データ!$F$10,TRUE())+0.25*_xlfn.NORM.S.DIST((LN($A64)-データ!$F$7)/データ!$F$10,TRUE())+0.25*_xlfn.NORM.S.DIST((LN($A64)-データ!$F$8)/データ!$F$10,TRUE())+0.125*_xlfn.NORM.S.DIST((LN($A64)-データ!$F$9)/データ!$F$10,TRUE()))</f>
        <v>0.80858206393621668</v>
      </c>
      <c r="G64" s="12">
        <f>IF($A64&lt;=0,0,0.125*_xlfn.NORM.S.DIST((LN($A64)-データ!$G$5)/データ!$G$10,TRUE())+0.25*_xlfn.NORM.S.DIST((LN($A64)-データ!$G$6)/データ!$G$10,TRUE())+0.25*_xlfn.NORM.S.DIST((LN($A64)-データ!$G$7)/データ!$G$10,TRUE())+0.25*_xlfn.NORM.S.DIST((LN($A64)-データ!$G$8)/データ!$G$10,TRUE())+0.125*_xlfn.NORM.S.DIST((LN($A64)-データ!$G$9)/データ!$G$10,TRUE()))</f>
        <v>0.58927646683859014</v>
      </c>
    </row>
    <row r="65" spans="1:7" ht="18.75">
      <c r="A65" s="6">
        <v>600</v>
      </c>
      <c r="B65" s="12">
        <f>IF($A65&lt;=0,0,0.125*_xlfn.NORM.S.DIST((LN($A65)-データ!$B$5)/データ!$B$10,TRUE())+0.25*_xlfn.NORM.S.DIST((LN($A65)-データ!$B$6)/データ!$B$10,TRUE())+0.375*_xlfn.NORM.S.DIST((LN($A65)-データ!$B$7)/データ!$B$10,TRUE()))</f>
        <v>0.60316273351830918</v>
      </c>
      <c r="C65" s="12">
        <f>IF($A65&lt;=0,0,0.125*_xlfn.NORM.S.DIST((LN($A65)-データ!$C$5)/データ!$C$10,TRUE())+0.25*_xlfn.NORM.S.DIST((LN($A65)-データ!$C$6)/データ!$C$10,TRUE())+0.375*_xlfn.NORM.S.DIST((LN($A65)-データ!$C$7)/データ!$C$10,TRUE()))</f>
        <v>0.55148754632936037</v>
      </c>
      <c r="D65" s="12">
        <f>IF($A65&lt;=0,0,0.125*_xlfn.NORM.S.DIST((LN($A65)-データ!$D$5)/データ!$D$10,TRUE())+0.25*_xlfn.NORM.S.DIST((LN($A65)-データ!$D$6)/データ!$D$10,TRUE())+0.375*_xlfn.NORM.S.DIST((LN($A65)-データ!$D$7)/データ!$D$10,TRUE()))</f>
        <v>0.67511704735251832</v>
      </c>
      <c r="E65" s="12">
        <f>IF($A65&lt;=0,0,0.125*_xlfn.NORM.S.DIST((LN($A65)-データ!$E$5)/データ!$E$10,TRUE())+0.25*_xlfn.NORM.S.DIST((LN($A65)-データ!$E$6)/データ!$E$10,TRUE())+0.25*_xlfn.NORM.S.DIST((LN($A65)-データ!$E$7)/データ!$E$10,TRUE())+0.25*_xlfn.NORM.S.DIST((LN($A65)-データ!$E$8)/データ!$E$10,TRUE())+0.125*_xlfn.NORM.S.DIST((LN($A65)-データ!$E$9)/データ!$E$10,TRUE()))</f>
        <v>0.69022669414333937</v>
      </c>
      <c r="F65" s="12">
        <f>IF($A65&lt;=0,0,0.125*_xlfn.NORM.S.DIST((LN($A65)-データ!$F$5)/データ!$F$10,TRUE())+0.25*_xlfn.NORM.S.DIST((LN($A65)-データ!$F$6)/データ!$F$10,TRUE())+0.25*_xlfn.NORM.S.DIST((LN($A65)-データ!$F$7)/データ!$F$10,TRUE())+0.25*_xlfn.NORM.S.DIST((LN($A65)-データ!$F$8)/データ!$F$10,TRUE())+0.125*_xlfn.NORM.S.DIST((LN($A65)-データ!$F$9)/データ!$F$10,TRUE()))</f>
        <v>0.81119006250797843</v>
      </c>
      <c r="G65" s="12">
        <f>IF($A65&lt;=0,0,0.125*_xlfn.NORM.S.DIST((LN($A65)-データ!$G$5)/データ!$G$10,TRUE())+0.25*_xlfn.NORM.S.DIST((LN($A65)-データ!$G$6)/データ!$G$10,TRUE())+0.25*_xlfn.NORM.S.DIST((LN($A65)-データ!$G$7)/データ!$G$10,TRUE())+0.25*_xlfn.NORM.S.DIST((LN($A65)-データ!$G$8)/データ!$G$10,TRUE())+0.125*_xlfn.NORM.S.DIST((LN($A65)-データ!$G$9)/データ!$G$10,TRUE()))</f>
        <v>0.59126607051007274</v>
      </c>
    </row>
  </sheetData>
  <phoneticPr fontId="5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データ</vt:lpstr>
      <vt:lpstr>1_製造業</vt:lpstr>
      <vt:lpstr>2_生活関連型産業</vt:lpstr>
      <vt:lpstr>3_基礎素材型産業</vt:lpstr>
      <vt:lpstr>4_非製造業</vt:lpstr>
      <vt:lpstr>5_卸売・小売業</vt:lpstr>
      <vt:lpstr>6_サービス業</vt:lpstr>
      <vt:lpstr>7_被害関数</vt:lpstr>
      <vt:lpstr>8_参考_論文図3-4再現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ito ryuhei</cp:lastModifiedBy>
  <cp:revision>0</cp:revision>
  <dcterms:created xsi:type="dcterms:W3CDTF">2026-10-17T07:25:01Z</dcterms:created>
  <dcterms:modified xsi:type="dcterms:W3CDTF">2026-10-17T09:26:24Z</dcterms:modified>
  <dc:language>en-US</dc:language>
</cp:coreProperties>
</file>