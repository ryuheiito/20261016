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06部門ファイル(お客様５年)\ＲＭ第一\07_研究開発\2100雹災リスク評価（カープール）\03_被害関数作成\20251009_v2\"/>
    </mc:Choice>
  </mc:AlternateContent>
  <xr:revisionPtr revIDLastSave="0" documentId="13_ncr:1_{C90A8F3C-6487-4854-BE0F-11E1B17EA377}" xr6:coauthVersionLast="47" xr6:coauthVersionMax="47" xr10:uidLastSave="{00000000-0000-0000-0000-000000000000}"/>
  <bookViews>
    <workbookView xWindow="-120" yWindow="-120" windowWidth="20730" windowHeight="11310" firstSheet="3" activeTab="5" xr2:uid="{7391F58A-7D45-42FB-9000-257DA5CF3684}"/>
  </bookViews>
  <sheets>
    <sheet name="データ" sheetId="4" r:id="rId1"/>
    <sheet name="1_全壊率" sheetId="5" r:id="rId2"/>
    <sheet name="2_全半壊率" sheetId="7" r:id="rId3"/>
    <sheet name="3_一部損壊以上率" sheetId="8" r:id="rId4"/>
    <sheet name="4_フラジリティ曲線" sheetId="9" r:id="rId5"/>
    <sheet name="5_損失率曲線" sheetId="10" r:id="rId6"/>
  </sheets>
  <definedNames>
    <definedName name="_xlnm._FilterDatabase" localSheetId="1" hidden="1">'1_全壊率'!$A$1:$B$1</definedName>
    <definedName name="_xlnm._FilterDatabase" localSheetId="2" hidden="1">'2_全半壊率'!$A$1:$B$1</definedName>
    <definedName name="_xlnm._FilterDatabase" localSheetId="3" hidden="1">'3_一部損壊以上率'!$A$1:$B$1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0" l="1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6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H71" i="10"/>
  <c r="H72" i="10"/>
  <c r="H73" i="10"/>
  <c r="H74" i="10"/>
  <c r="H75" i="10"/>
  <c r="G71" i="10"/>
  <c r="G72" i="10"/>
  <c r="G73" i="10"/>
  <c r="G74" i="10"/>
  <c r="G75" i="10"/>
  <c r="H70" i="10"/>
  <c r="G70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F6" i="10"/>
  <c r="E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D6" i="10"/>
  <c r="C6" i="10"/>
  <c r="B6" i="10"/>
  <c r="F2" i="4"/>
  <c r="G2" i="4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" i="4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" i="9"/>
  <c r="G3" i="8" l="1"/>
  <c r="F3" i="8"/>
  <c r="D15" i="8"/>
  <c r="D16" i="8"/>
  <c r="D17" i="8"/>
  <c r="D18" i="8"/>
  <c r="C18" i="8"/>
  <c r="C17" i="8"/>
  <c r="C14" i="8"/>
  <c r="C15" i="8"/>
  <c r="C16" i="8"/>
  <c r="C3" i="8"/>
  <c r="C4" i="8"/>
  <c r="C5" i="8"/>
  <c r="C6" i="8"/>
  <c r="D6" i="8" s="1"/>
  <c r="C7" i="8"/>
  <c r="C8" i="8"/>
  <c r="C9" i="8"/>
  <c r="C10" i="8"/>
  <c r="C11" i="8"/>
  <c r="C12" i="8"/>
  <c r="D12" i="8" s="1"/>
  <c r="C13" i="8"/>
  <c r="D14" i="8"/>
  <c r="D10" i="8"/>
  <c r="D9" i="8"/>
  <c r="D8" i="8"/>
  <c r="C2" i="8"/>
  <c r="I3" i="8"/>
  <c r="D2" i="8"/>
  <c r="F3" i="7"/>
  <c r="G3" i="7"/>
  <c r="I3" i="7"/>
  <c r="D12" i="7"/>
  <c r="D13" i="7"/>
  <c r="D14" i="7"/>
  <c r="C12" i="7"/>
  <c r="C13" i="7"/>
  <c r="C14" i="7"/>
  <c r="C3" i="7"/>
  <c r="C4" i="7"/>
  <c r="C5" i="7"/>
  <c r="C6" i="7"/>
  <c r="C7" i="7"/>
  <c r="C8" i="7"/>
  <c r="C9" i="7"/>
  <c r="C10" i="7"/>
  <c r="D10" i="7" s="1"/>
  <c r="C11" i="7"/>
  <c r="C2" i="7"/>
  <c r="D8" i="7"/>
  <c r="D7" i="7"/>
  <c r="D6" i="7"/>
  <c r="D5" i="7"/>
  <c r="D4" i="7"/>
  <c r="D3" i="7"/>
  <c r="D2" i="7"/>
  <c r="I3" i="5"/>
  <c r="H3" i="5"/>
  <c r="G3" i="5"/>
  <c r="F3" i="5"/>
  <c r="D3" i="5"/>
  <c r="D4" i="5"/>
  <c r="D5" i="5"/>
  <c r="D6" i="5"/>
  <c r="D7" i="5"/>
  <c r="D8" i="5"/>
  <c r="D9" i="5"/>
  <c r="D10" i="5"/>
  <c r="D11" i="5"/>
  <c r="D2" i="5"/>
  <c r="C3" i="5"/>
  <c r="C4" i="5"/>
  <c r="C5" i="5"/>
  <c r="C6" i="5"/>
  <c r="C7" i="5"/>
  <c r="C8" i="5"/>
  <c r="C9" i="5"/>
  <c r="C10" i="5"/>
  <c r="C11" i="5"/>
  <c r="C2" i="5"/>
  <c r="D3" i="8" l="1"/>
  <c r="D5" i="8"/>
  <c r="D7" i="8"/>
  <c r="D11" i="8"/>
  <c r="D13" i="8"/>
  <c r="D4" i="8"/>
  <c r="H3" i="8"/>
  <c r="D9" i="7"/>
  <c r="D11" i="7"/>
  <c r="H3" i="7"/>
</calcChain>
</file>

<file path=xl/sharedStrings.xml><?xml version="1.0" encoding="utf-8"?>
<sst xmlns="http://schemas.openxmlformats.org/spreadsheetml/2006/main" count="52" uniqueCount="19">
  <si>
    <t>基準化変数</t>
    <rPh sb="0" eb="3">
      <t>キジュンカ</t>
    </rPh>
    <rPh sb="3" eb="5">
      <t>ヘンスウ</t>
    </rPh>
    <phoneticPr fontId="18"/>
  </si>
  <si>
    <t>計測震度</t>
    <rPh sb="0" eb="2">
      <t>ケイソク</t>
    </rPh>
    <rPh sb="2" eb="4">
      <t>シンド</t>
    </rPh>
    <phoneticPr fontId="18"/>
  </si>
  <si>
    <t>全壊率</t>
    <rPh sb="0" eb="2">
      <t>ゼンカイ</t>
    </rPh>
    <rPh sb="2" eb="3">
      <t>リツ</t>
    </rPh>
    <phoneticPr fontId="18"/>
  </si>
  <si>
    <t>全半壊率</t>
    <rPh sb="0" eb="1">
      <t>ゼン</t>
    </rPh>
    <rPh sb="1" eb="3">
      <t>ハンカイ</t>
    </rPh>
    <rPh sb="3" eb="4">
      <t>リツ</t>
    </rPh>
    <phoneticPr fontId="18"/>
  </si>
  <si>
    <t>一部損壊以上率</t>
    <rPh sb="0" eb="2">
      <t>イチブ</t>
    </rPh>
    <rPh sb="2" eb="4">
      <t>ソンカイ</t>
    </rPh>
    <rPh sb="4" eb="6">
      <t>イジョウ</t>
    </rPh>
    <rPh sb="6" eb="7">
      <t>リツ</t>
    </rPh>
    <phoneticPr fontId="18"/>
  </si>
  <si>
    <t>回帰直線</t>
    <rPh sb="0" eb="2">
      <t>カイキ</t>
    </rPh>
    <rPh sb="2" eb="4">
      <t>チョクセン</t>
    </rPh>
    <phoneticPr fontId="18"/>
  </si>
  <si>
    <t>a</t>
    <phoneticPr fontId="18"/>
  </si>
  <si>
    <t>b</t>
    <phoneticPr fontId="18"/>
  </si>
  <si>
    <t>回帰モデル</t>
    <rPh sb="0" eb="2">
      <t>カイキ</t>
    </rPh>
    <phoneticPr fontId="18"/>
  </si>
  <si>
    <t>平均値-b/a</t>
    <rPh sb="0" eb="3">
      <t>ヘイキンチ</t>
    </rPh>
    <phoneticPr fontId="18"/>
  </si>
  <si>
    <t>標準偏差</t>
    <rPh sb="0" eb="2">
      <t>ヒョウジュン</t>
    </rPh>
    <rPh sb="2" eb="4">
      <t>ヘンサ</t>
    </rPh>
    <phoneticPr fontId="18"/>
  </si>
  <si>
    <t>被害区分</t>
    <rPh sb="0" eb="2">
      <t>ヒガイ</t>
    </rPh>
    <rPh sb="2" eb="4">
      <t>クブン</t>
    </rPh>
    <phoneticPr fontId="18"/>
  </si>
  <si>
    <t>全壊</t>
    <rPh sb="0" eb="2">
      <t>ゼンカイ</t>
    </rPh>
    <phoneticPr fontId="18"/>
  </si>
  <si>
    <t>半壊</t>
    <rPh sb="0" eb="2">
      <t>ハンカイ</t>
    </rPh>
    <phoneticPr fontId="18"/>
  </si>
  <si>
    <t>一部損壊</t>
    <rPh sb="0" eb="2">
      <t>イチブ</t>
    </rPh>
    <rPh sb="2" eb="4">
      <t>ソンカイ</t>
    </rPh>
    <phoneticPr fontId="18"/>
  </si>
  <si>
    <t>損失率</t>
    <rPh sb="0" eb="2">
      <t>ソンシツ</t>
    </rPh>
    <rPh sb="2" eb="3">
      <t>リツ</t>
    </rPh>
    <phoneticPr fontId="18"/>
  </si>
  <si>
    <t>半壊率</t>
    <rPh sb="0" eb="2">
      <t>ハンカイ</t>
    </rPh>
    <rPh sb="2" eb="3">
      <t>リツ</t>
    </rPh>
    <rPh sb="3" eb="4">
      <t>リツ</t>
    </rPh>
    <phoneticPr fontId="18"/>
  </si>
  <si>
    <t>一部損壊率</t>
    <rPh sb="0" eb="2">
      <t>イチブ</t>
    </rPh>
    <rPh sb="2" eb="4">
      <t>ソンカイ</t>
    </rPh>
    <rPh sb="4" eb="5">
      <t>リツ</t>
    </rPh>
    <phoneticPr fontId="18"/>
  </si>
  <si>
    <t>無被害率</t>
    <rPh sb="0" eb="1">
      <t>ム</t>
    </rPh>
    <rPh sb="1" eb="3">
      <t>ヒガイ</t>
    </rPh>
    <rPh sb="3" eb="4">
      <t>リツ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</si>
</sst>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88" formatCode="0.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88" fontId="0" fillId="0" borderId="10" xfId="0" applyNumberFormat="1" applyBorder="1">
      <alignment vertical="center"/>
    </xf>
    <xf numFmtId="2" fontId="0" fillId="0" borderId="10" xfId="0" applyNumberFormat="1" applyBorder="1">
      <alignment vertical="center"/>
    </xf>
    <xf numFmtId="9" fontId="0" fillId="0" borderId="10" xfId="42" applyFont="1" applyBorder="1">
      <alignment vertical="center"/>
    </xf>
    <xf numFmtId="0" fontId="0" fillId="0" borderId="10" xfId="0" applyFill="1" applyBorder="1">
      <alignment vertical="center"/>
    </xf>
    <xf numFmtId="0" fontId="14" fillId="0" borderId="10" xfId="0" applyFont="1" applyFill="1" applyBorder="1" applyAlignment="1">
      <alignment horizontal="center"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パーセント" xfId="42" builtinId="5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'1_全壊率'!$D$1</c:f>
              <c:strCache>
                <c:ptCount val="1"/>
                <c:pt idx="0">
                  <c:v>基準化変数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123140857392826E-2"/>
                  <c:y val="0.50226268591426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'1_全壊率'!$A$2:$A$11</c:f>
              <c:numCache>
                <c:formatCode>General</c:formatCode>
                <c:ptCount val="10"/>
                <c:pt idx="0">
                  <c:v>5.3</c:v>
                </c:pt>
                <c:pt idx="1">
                  <c:v>5.5</c:v>
                </c:pt>
                <c:pt idx="2">
                  <c:v>5.6</c:v>
                </c:pt>
                <c:pt idx="3">
                  <c:v>5.7</c:v>
                </c:pt>
                <c:pt idx="4">
                  <c:v>5.9</c:v>
                </c:pt>
                <c:pt idx="5">
                  <c:v>5.9999999999999902</c:v>
                </c:pt>
                <c:pt idx="6">
                  <c:v>6.0999999999999899</c:v>
                </c:pt>
                <c:pt idx="7">
                  <c:v>6.2999999999999901</c:v>
                </c:pt>
                <c:pt idx="8">
                  <c:v>6.3999999999999897</c:v>
                </c:pt>
                <c:pt idx="9">
                  <c:v>6.4999999999999902</c:v>
                </c:pt>
              </c:numCache>
            </c:numRef>
          </c:xVal>
          <c:yVal>
            <c:numRef>
              <c:f>'1_全壊率'!$D$2:$D$11</c:f>
              <c:numCache>
                <c:formatCode>General</c:formatCode>
                <c:ptCount val="10"/>
                <c:pt idx="0">
                  <c:v>-3.5400837992061454</c:v>
                </c:pt>
                <c:pt idx="1">
                  <c:v>-3.2905267314918945</c:v>
                </c:pt>
                <c:pt idx="2">
                  <c:v>-3.2905267314918945</c:v>
                </c:pt>
                <c:pt idx="3">
                  <c:v>-1.4145516278156347</c:v>
                </c:pt>
                <c:pt idx="4">
                  <c:v>-1.5674908641334397</c:v>
                </c:pt>
                <c:pt idx="5">
                  <c:v>-2.0641868904004026</c:v>
                </c:pt>
                <c:pt idx="6">
                  <c:v>-1.358831465652997</c:v>
                </c:pt>
                <c:pt idx="7">
                  <c:v>-1.5795934510255878</c:v>
                </c:pt>
                <c:pt idx="8">
                  <c:v>0.17382881250166229</c:v>
                </c:pt>
                <c:pt idx="9">
                  <c:v>-0.16619944017035887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3C-416D-96B8-8658E3EF3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46456"/>
        <c:axId val="657048096"/>
      </c:scatterChart>
      <c:valAx>
        <c:axId val="657046456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8096"/>
        <c:crosses val="autoZero"/>
        <c:crossBetween val="midCat"/>
      </c:valAx>
      <c:valAx>
        <c:axId val="6570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6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'2_全半壊率'!$D$1</c:f>
              <c:strCache>
                <c:ptCount val="1"/>
                <c:pt idx="0">
                  <c:v>基準化変数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123140857392826E-2"/>
                  <c:y val="0.50226268591426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'2_全半壊率'!$A$2:$A$14</c:f>
              <c:numCache>
                <c:formatCode>General</c:formatCode>
                <c:ptCount val="13"/>
                <c:pt idx="0">
                  <c:v>5.0999999999999996</c:v>
                </c:pt>
                <c:pt idx="1">
                  <c:v>5.3</c:v>
                </c:pt>
                <c:pt idx="2">
                  <c:v>5.2</c:v>
                </c:pt>
                <c:pt idx="3">
                  <c:v>5.5</c:v>
                </c:pt>
                <c:pt idx="4">
                  <c:v>5.6</c:v>
                </c:pt>
                <c:pt idx="5">
                  <c:v>5.8</c:v>
                </c:pt>
                <c:pt idx="6">
                  <c:v>5.9999999999999902</c:v>
                </c:pt>
                <c:pt idx="7">
                  <c:v>6.2999999999999901</c:v>
                </c:pt>
                <c:pt idx="8">
                  <c:v>5.9</c:v>
                </c:pt>
                <c:pt idx="9">
                  <c:v>6.0999999999999899</c:v>
                </c:pt>
                <c:pt idx="10">
                  <c:v>5.7</c:v>
                </c:pt>
                <c:pt idx="11">
                  <c:v>6.4999999999999902</c:v>
                </c:pt>
                <c:pt idx="12">
                  <c:v>6.3999999999999897</c:v>
                </c:pt>
              </c:numCache>
            </c:numRef>
          </c:xVal>
          <c:yVal>
            <c:numRef>
              <c:f>'2_全半壊率'!$D$2:$D$14</c:f>
              <c:numCache>
                <c:formatCode>General</c:formatCode>
                <c:ptCount val="13"/>
                <c:pt idx="0">
                  <c:v>-3.2905267314918945</c:v>
                </c:pt>
                <c:pt idx="1">
                  <c:v>-3.2388801183529772</c:v>
                </c:pt>
                <c:pt idx="2">
                  <c:v>-3.0618141517617574</c:v>
                </c:pt>
                <c:pt idx="3">
                  <c:v>-2.5063059597918933</c:v>
                </c:pt>
                <c:pt idx="4">
                  <c:v>-2.3998899842914176</c:v>
                </c:pt>
                <c:pt idx="5">
                  <c:v>-1.7991181068379667</c:v>
                </c:pt>
                <c:pt idx="6">
                  <c:v>-1.1268639673687271</c:v>
                </c:pt>
                <c:pt idx="7">
                  <c:v>-0.56599085091781065</c:v>
                </c:pt>
                <c:pt idx="8">
                  <c:v>-0.49840303221575916</c:v>
                </c:pt>
                <c:pt idx="9">
                  <c:v>-0.3842407743100334</c:v>
                </c:pt>
                <c:pt idx="10">
                  <c:v>-0.35178434493515626</c:v>
                </c:pt>
                <c:pt idx="11">
                  <c:v>0.5941676311794325</c:v>
                </c:pt>
                <c:pt idx="12">
                  <c:v>0.87900235305678975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89-4BA9-930B-67A1E91D3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46456"/>
        <c:axId val="657048096"/>
      </c:scatterChart>
      <c:valAx>
        <c:axId val="657046456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8096"/>
        <c:crosses val="autoZero"/>
        <c:crossBetween val="midCat"/>
      </c:valAx>
      <c:valAx>
        <c:axId val="6570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6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'3_一部損壊以上率'!$D$1</c:f>
              <c:strCache>
                <c:ptCount val="1"/>
                <c:pt idx="0">
                  <c:v>基準化変数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8123140857392826E-2"/>
                  <c:y val="0.502262685914260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'3_一部損壊以上率'!$A$2:$A$18</c:f>
              <c:numCache>
                <c:formatCode>General</c:formatCode>
                <c:ptCount val="17"/>
                <c:pt idx="0">
                  <c:v>4.8</c:v>
                </c:pt>
                <c:pt idx="1">
                  <c:v>4.7</c:v>
                </c:pt>
                <c:pt idx="2">
                  <c:v>4.5</c:v>
                </c:pt>
                <c:pt idx="3">
                  <c:v>4.5999999999999996</c:v>
                </c:pt>
                <c:pt idx="4">
                  <c:v>4.9000000000000004</c:v>
                </c:pt>
                <c:pt idx="5">
                  <c:v>5.0999999999999996</c:v>
                </c:pt>
                <c:pt idx="6">
                  <c:v>5</c:v>
                </c:pt>
                <c:pt idx="7">
                  <c:v>5.2</c:v>
                </c:pt>
                <c:pt idx="8">
                  <c:v>5.4</c:v>
                </c:pt>
                <c:pt idx="9">
                  <c:v>5.3</c:v>
                </c:pt>
                <c:pt idx="10">
                  <c:v>5.6</c:v>
                </c:pt>
                <c:pt idx="11">
                  <c:v>5.5</c:v>
                </c:pt>
                <c:pt idx="12">
                  <c:v>5.8</c:v>
                </c:pt>
                <c:pt idx="13">
                  <c:v>5.9999999999999902</c:v>
                </c:pt>
                <c:pt idx="14">
                  <c:v>5.9</c:v>
                </c:pt>
                <c:pt idx="15">
                  <c:v>5.7</c:v>
                </c:pt>
                <c:pt idx="16">
                  <c:v>6.0999999999999899</c:v>
                </c:pt>
              </c:numCache>
            </c:numRef>
          </c:xVal>
          <c:yVal>
            <c:numRef>
              <c:f>'3_一部損壊以上率'!$D$2:$D$18</c:f>
              <c:numCache>
                <c:formatCode>General</c:formatCode>
                <c:ptCount val="17"/>
                <c:pt idx="0">
                  <c:v>-3.4316144036232696</c:v>
                </c:pt>
                <c:pt idx="1">
                  <c:v>-2.7821504537846065</c:v>
                </c:pt>
                <c:pt idx="2">
                  <c:v>-2.7265513165043962</c:v>
                </c:pt>
                <c:pt idx="3">
                  <c:v>-2.7265513165043962</c:v>
                </c:pt>
                <c:pt idx="4">
                  <c:v>-2.6968442608781253</c:v>
                </c:pt>
                <c:pt idx="5">
                  <c:v>-2.635554238190343</c:v>
                </c:pt>
                <c:pt idx="6">
                  <c:v>-2.3998899842914176</c:v>
                </c:pt>
                <c:pt idx="7">
                  <c:v>-2.1834865280065592</c:v>
                </c:pt>
                <c:pt idx="8">
                  <c:v>-1.6390636712361906</c:v>
                </c:pt>
                <c:pt idx="9">
                  <c:v>-1.6173627568992357</c:v>
                </c:pt>
                <c:pt idx="10">
                  <c:v>-1.4325027208258112</c:v>
                </c:pt>
                <c:pt idx="11">
                  <c:v>-1.1983006336839004</c:v>
                </c:pt>
                <c:pt idx="12">
                  <c:v>-1.024074685763404</c:v>
                </c:pt>
                <c:pt idx="13">
                  <c:v>-0.26345487474882495</c:v>
                </c:pt>
                <c:pt idx="14">
                  <c:v>0.28088318252889455</c:v>
                </c:pt>
                <c:pt idx="15">
                  <c:v>0.33317789903059641</c:v>
                </c:pt>
                <c:pt idx="16">
                  <c:v>0.41792767166948208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75-4AF7-A315-36402E8A8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046456"/>
        <c:axId val="657048096"/>
      </c:scatterChart>
      <c:valAx>
        <c:axId val="657046456"/>
        <c:scaling>
          <c:orientation val="minMax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8096"/>
        <c:crosses val="autoZero"/>
        <c:crossBetween val="midCat"/>
      </c:valAx>
      <c:valAx>
        <c:axId val="6570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7046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'4_フラジリティ曲線'!$B$1</c:f>
              <c:strCache>
                <c:ptCount val="1"/>
                <c:pt idx="0">
                  <c:v>全壊率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'4_フラジリティ曲線'!$A$2:$A$27</c:f>
              <c:numCache>
                <c:formatCode>General</c:formatCode>
                <c:ptCount val="26"/>
                <c:pt idx="0">
                  <c:v>4.5</c:v>
                </c:pt>
                <c:pt idx="1">
                  <c:v>4.5999999999999996</c:v>
                </c:pt>
                <c:pt idx="2">
                  <c:v>4.7</c:v>
                </c:pt>
                <c:pt idx="3">
                  <c:v>4.8</c:v>
                </c:pt>
                <c:pt idx="4">
                  <c:v>4.9000000000000004</c:v>
                </c:pt>
                <c:pt idx="5">
                  <c:v>5</c:v>
                </c:pt>
                <c:pt idx="6">
                  <c:v>5.0999999999999996</c:v>
                </c:pt>
                <c:pt idx="7">
                  <c:v>5.2</c:v>
                </c:pt>
                <c:pt idx="8">
                  <c:v>5.3</c:v>
                </c:pt>
                <c:pt idx="9">
                  <c:v>5.4</c:v>
                </c:pt>
                <c:pt idx="10">
                  <c:v>5.5</c:v>
                </c:pt>
                <c:pt idx="11">
                  <c:v>5.6</c:v>
                </c:pt>
                <c:pt idx="12">
                  <c:v>5.7</c:v>
                </c:pt>
                <c:pt idx="13">
                  <c:v>5.8</c:v>
                </c:pt>
                <c:pt idx="14">
                  <c:v>5.9</c:v>
                </c:pt>
                <c:pt idx="15">
                  <c:v>5.9999999999999902</c:v>
                </c:pt>
                <c:pt idx="16">
                  <c:v>6.0999999999999899</c:v>
                </c:pt>
                <c:pt idx="17">
                  <c:v>6.1999999999999904</c:v>
                </c:pt>
                <c:pt idx="18">
                  <c:v>6.2999999999999901</c:v>
                </c:pt>
                <c:pt idx="19">
                  <c:v>6.3999999999999897</c:v>
                </c:pt>
                <c:pt idx="20">
                  <c:v>6.4999999999999902</c:v>
                </c:pt>
                <c:pt idx="21">
                  <c:v>6.5999999999999899</c:v>
                </c:pt>
                <c:pt idx="22">
                  <c:v>6.6999999999999904</c:v>
                </c:pt>
                <c:pt idx="23">
                  <c:v>6.7999999999999901</c:v>
                </c:pt>
                <c:pt idx="24">
                  <c:v>6.8999999999999897</c:v>
                </c:pt>
                <c:pt idx="25">
                  <c:v>6.9999999999999902</c:v>
                </c:pt>
              </c:numCache>
            </c:numRef>
          </c:xVal>
          <c:yVal>
            <c:numRef>
              <c:f>'4_フラジリティ曲線'!$B$2:$B$27</c:f>
              <c:numCache>
                <c:formatCode>General</c:formatCode>
                <c:ptCount val="26"/>
                <c:pt idx="0">
                  <c:v>2.2456634883990286E-9</c:v>
                </c:pt>
                <c:pt idx="1">
                  <c:v>1.1888418904646958E-8</c:v>
                </c:pt>
                <c:pt idx="2">
                  <c:v>5.8219317162482769E-8</c:v>
                </c:pt>
                <c:pt idx="3">
                  <c:v>2.6379164214844288E-7</c:v>
                </c:pt>
                <c:pt idx="4">
                  <c:v>1.1061274450518632E-6</c:v>
                </c:pt>
                <c:pt idx="5">
                  <c:v>4.2935144699718411E-6</c:v>
                </c:pt>
                <c:pt idx="6">
                  <c:v>1.5431724891373213E-5</c:v>
                </c:pt>
                <c:pt idx="7">
                  <c:v>5.1375953548590587E-5</c:v>
                </c:pt>
                <c:pt idx="8">
                  <c:v>1.5849778843208225E-4</c:v>
                </c:pt>
                <c:pt idx="9">
                  <c:v>4.5332242229965443E-4</c:v>
                </c:pt>
                <c:pt idx="10">
                  <c:v>1.202678434591962E-3</c:v>
                </c:pt>
                <c:pt idx="11">
                  <c:v>2.9616260451524657E-3</c:v>
                </c:pt>
                <c:pt idx="12">
                  <c:v>6.7745609232903519E-3</c:v>
                </c:pt>
                <c:pt idx="13">
                  <c:v>1.4407802664058153E-2</c:v>
                </c:pt>
                <c:pt idx="14">
                  <c:v>2.852027261649371E-2</c:v>
                </c:pt>
                <c:pt idx="15">
                  <c:v>5.261613845424893E-2</c:v>
                </c:pt>
                <c:pt idx="16">
                  <c:v>9.0611318418199818E-2</c:v>
                </c:pt>
                <c:pt idx="17">
                  <c:v>0.14594145856691565</c:v>
                </c:pt>
                <c:pt idx="18">
                  <c:v>0.22035346579672876</c:v>
                </c:pt>
                <c:pt idx="19">
                  <c:v>0.31277492053569683</c:v>
                </c:pt>
                <c:pt idx="20">
                  <c:v>0.41878606251254047</c:v>
                </c:pt>
                <c:pt idx="21">
                  <c:v>0.53108597350301268</c:v>
                </c:pt>
                <c:pt idx="22">
                  <c:v>0.64095027646521885</c:v>
                </c:pt>
                <c:pt idx="23">
                  <c:v>0.74021228300331121</c:v>
                </c:pt>
                <c:pt idx="24">
                  <c:v>0.82303673285857482</c:v>
                </c:pt>
                <c:pt idx="25">
                  <c:v>0.88686055355601723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82-422C-89B5-5A75F39C3585}"/>
            </c:ext>
          </c:extLst>
        </c:ser>
        <c:ser>
          <c:idx val="1"/>
          <c:order val="1"/>
          <c:tx>
            <c:strRef>
              <c:f>'4_フラジリティ曲線'!$C$1</c:f>
              <c:strCache>
                <c:ptCount val="1"/>
                <c:pt idx="0">
                  <c:v>全半壊率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'4_フラジリティ曲線'!$A$2:$A$27</c:f>
              <c:numCache>
                <c:formatCode>General</c:formatCode>
                <c:ptCount val="26"/>
                <c:pt idx="0">
                  <c:v>4.5</c:v>
                </c:pt>
                <c:pt idx="1">
                  <c:v>4.5999999999999996</c:v>
                </c:pt>
                <c:pt idx="2">
                  <c:v>4.7</c:v>
                </c:pt>
                <c:pt idx="3">
                  <c:v>4.8</c:v>
                </c:pt>
                <c:pt idx="4">
                  <c:v>4.9000000000000004</c:v>
                </c:pt>
                <c:pt idx="5">
                  <c:v>5</c:v>
                </c:pt>
                <c:pt idx="6">
                  <c:v>5.0999999999999996</c:v>
                </c:pt>
                <c:pt idx="7">
                  <c:v>5.2</c:v>
                </c:pt>
                <c:pt idx="8">
                  <c:v>5.3</c:v>
                </c:pt>
                <c:pt idx="9">
                  <c:v>5.4</c:v>
                </c:pt>
                <c:pt idx="10">
                  <c:v>5.5</c:v>
                </c:pt>
                <c:pt idx="11">
                  <c:v>5.6</c:v>
                </c:pt>
                <c:pt idx="12">
                  <c:v>5.7</c:v>
                </c:pt>
                <c:pt idx="13">
                  <c:v>5.8</c:v>
                </c:pt>
                <c:pt idx="14">
                  <c:v>5.9</c:v>
                </c:pt>
                <c:pt idx="15">
                  <c:v>5.9999999999999902</c:v>
                </c:pt>
                <c:pt idx="16">
                  <c:v>6.0999999999999899</c:v>
                </c:pt>
                <c:pt idx="17">
                  <c:v>6.1999999999999904</c:v>
                </c:pt>
                <c:pt idx="18">
                  <c:v>6.2999999999999901</c:v>
                </c:pt>
                <c:pt idx="19">
                  <c:v>6.3999999999999897</c:v>
                </c:pt>
                <c:pt idx="20">
                  <c:v>6.4999999999999902</c:v>
                </c:pt>
                <c:pt idx="21">
                  <c:v>6.5999999999999899</c:v>
                </c:pt>
                <c:pt idx="22">
                  <c:v>6.6999999999999904</c:v>
                </c:pt>
                <c:pt idx="23">
                  <c:v>6.7999999999999901</c:v>
                </c:pt>
                <c:pt idx="24">
                  <c:v>6.8999999999999897</c:v>
                </c:pt>
                <c:pt idx="25">
                  <c:v>6.9999999999999902</c:v>
                </c:pt>
              </c:numCache>
            </c:numRef>
          </c:xVal>
          <c:yVal>
            <c:numRef>
              <c:f>'4_フラジリティ曲線'!$C$2:$C$27</c:f>
              <c:numCache>
                <c:formatCode>General</c:formatCode>
                <c:ptCount val="26"/>
                <c:pt idx="0">
                  <c:v>1.0534486149441905E-7</c:v>
                </c:pt>
                <c:pt idx="1">
                  <c:v>4.9047996353786249E-7</c:v>
                </c:pt>
                <c:pt idx="2">
                  <c:v>2.1004200602561815E-6</c:v>
                </c:pt>
                <c:pt idx="3">
                  <c:v>8.2756762980747147E-6</c:v>
                </c:pt>
                <c:pt idx="4">
                  <c:v>3.001027555880948E-5</c:v>
                </c:pt>
                <c:pt idx="5">
                  <c:v>1.0020464618951186E-4</c:v>
                </c:pt>
                <c:pt idx="6">
                  <c:v>3.0822670565836333E-4</c:v>
                </c:pt>
                <c:pt idx="7">
                  <c:v>8.7391250847860201E-4</c:v>
                </c:pt>
                <c:pt idx="8">
                  <c:v>2.2854815151071213E-3</c:v>
                </c:pt>
                <c:pt idx="9">
                  <c:v>5.5176344550723171E-3</c:v>
                </c:pt>
                <c:pt idx="10">
                  <c:v>1.2308833885808069E-2</c:v>
                </c:pt>
                <c:pt idx="11">
                  <c:v>2.540268880940498E-2</c:v>
                </c:pt>
                <c:pt idx="12">
                  <c:v>4.8568980039872173E-2</c:v>
                </c:pt>
                <c:pt idx="13">
                  <c:v>8.6179968595334111E-2</c:v>
                </c:pt>
                <c:pt idx="14">
                  <c:v>0.14221290084660057</c:v>
                </c:pt>
                <c:pt idx="15">
                  <c:v>0.21881545304835751</c:v>
                </c:pt>
                <c:pt idx="16">
                  <c:v>0.3149136289320959</c:v>
                </c:pt>
                <c:pt idx="17">
                  <c:v>0.42554023614613357</c:v>
                </c:pt>
                <c:pt idx="18">
                  <c:v>0.54240320543070875</c:v>
                </c:pt>
                <c:pt idx="19">
                  <c:v>0.65568685790984427</c:v>
                </c:pt>
                <c:pt idx="20">
                  <c:v>0.75645668170693092</c:v>
                </c:pt>
                <c:pt idx="21">
                  <c:v>0.83871245905947867</c:v>
                </c:pt>
                <c:pt idx="22">
                  <c:v>0.90032576387272134</c:v>
                </c:pt>
                <c:pt idx="23">
                  <c:v>0.9426758312390926</c:v>
                </c:pt>
                <c:pt idx="24">
                  <c:v>0.96938770453277423</c:v>
                </c:pt>
                <c:pt idx="25">
                  <c:v>0.98484822689333351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82-422C-89B5-5A75F39C3585}"/>
            </c:ext>
          </c:extLst>
        </c:ser>
        <c:ser>
          <c:idx val="2"/>
          <c:order val="2"/>
          <c:tx>
            <c:strRef>
              <c:f>'4_フラジリティ曲線'!$D$1</c:f>
              <c:strCache>
                <c:ptCount val="1"/>
                <c:pt idx="0">
                  <c:v>一部損壊以上率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'4_フラジリティ曲線'!$A$2:$A$27</c:f>
              <c:numCache>
                <c:formatCode>General</c:formatCode>
                <c:ptCount val="26"/>
                <c:pt idx="0">
                  <c:v>4.5</c:v>
                </c:pt>
                <c:pt idx="1">
                  <c:v>4.5999999999999996</c:v>
                </c:pt>
                <c:pt idx="2">
                  <c:v>4.7</c:v>
                </c:pt>
                <c:pt idx="3">
                  <c:v>4.8</c:v>
                </c:pt>
                <c:pt idx="4">
                  <c:v>4.9000000000000004</c:v>
                </c:pt>
                <c:pt idx="5">
                  <c:v>5</c:v>
                </c:pt>
                <c:pt idx="6">
                  <c:v>5.0999999999999996</c:v>
                </c:pt>
                <c:pt idx="7">
                  <c:v>5.2</c:v>
                </c:pt>
                <c:pt idx="8">
                  <c:v>5.3</c:v>
                </c:pt>
                <c:pt idx="9">
                  <c:v>5.4</c:v>
                </c:pt>
                <c:pt idx="10">
                  <c:v>5.5</c:v>
                </c:pt>
                <c:pt idx="11">
                  <c:v>5.6</c:v>
                </c:pt>
                <c:pt idx="12">
                  <c:v>5.7</c:v>
                </c:pt>
                <c:pt idx="13">
                  <c:v>5.8</c:v>
                </c:pt>
                <c:pt idx="14">
                  <c:v>5.9</c:v>
                </c:pt>
                <c:pt idx="15">
                  <c:v>5.9999999999999902</c:v>
                </c:pt>
                <c:pt idx="16">
                  <c:v>6.0999999999999899</c:v>
                </c:pt>
                <c:pt idx="17">
                  <c:v>6.1999999999999904</c:v>
                </c:pt>
                <c:pt idx="18">
                  <c:v>6.2999999999999901</c:v>
                </c:pt>
                <c:pt idx="19">
                  <c:v>6.3999999999999897</c:v>
                </c:pt>
                <c:pt idx="20">
                  <c:v>6.4999999999999902</c:v>
                </c:pt>
                <c:pt idx="21">
                  <c:v>6.5999999999999899</c:v>
                </c:pt>
                <c:pt idx="22">
                  <c:v>6.6999999999999904</c:v>
                </c:pt>
                <c:pt idx="23">
                  <c:v>6.7999999999999901</c:v>
                </c:pt>
                <c:pt idx="24">
                  <c:v>6.8999999999999897</c:v>
                </c:pt>
                <c:pt idx="25">
                  <c:v>6.9999999999999902</c:v>
                </c:pt>
              </c:numCache>
            </c:numRef>
          </c:xVal>
          <c:yVal>
            <c:numRef>
              <c:f>'4_フラジリティ曲線'!$D$2:$D$27</c:f>
              <c:numCache>
                <c:formatCode>General</c:formatCode>
                <c:ptCount val="26"/>
                <c:pt idx="0">
                  <c:v>3.127605606289103E-4</c:v>
                </c:pt>
                <c:pt idx="1">
                  <c:v>6.9519167848100831E-4</c:v>
                </c:pt>
                <c:pt idx="2">
                  <c:v>1.4746183399877173E-3</c:v>
                </c:pt>
                <c:pt idx="3">
                  <c:v>2.9859526423710657E-3</c:v>
                </c:pt>
                <c:pt idx="4">
                  <c:v>5.7740591414314722E-3</c:v>
                </c:pt>
                <c:pt idx="5">
                  <c:v>1.0667586088635057E-2</c:v>
                </c:pt>
                <c:pt idx="6">
                  <c:v>1.8839027367663987E-2</c:v>
                </c:pt>
                <c:pt idx="7">
                  <c:v>3.1820968216576109E-2</c:v>
                </c:pt>
                <c:pt idx="8">
                  <c:v>5.1443049736089354E-2</c:v>
                </c:pt>
                <c:pt idx="9">
                  <c:v>7.9660332982883317E-2</c:v>
                </c:pt>
                <c:pt idx="10">
                  <c:v>0.11826591948905259</c:v>
                </c:pt>
                <c:pt idx="11">
                  <c:v>0.16851754188645707</c:v>
                </c:pt>
                <c:pt idx="12">
                  <c:v>0.2307497363046567</c:v>
                </c:pt>
                <c:pt idx="13">
                  <c:v>0.30407359871377215</c:v>
                </c:pt>
                <c:pt idx="14">
                  <c:v>0.38626773145756943</c:v>
                </c:pt>
                <c:pt idx="15">
                  <c:v>0.47392776204071702</c:v>
                </c:pt>
                <c:pt idx="16">
                  <c:v>0.56287403688126347</c:v>
                </c:pt>
                <c:pt idx="17">
                  <c:v>0.64873964753603008</c:v>
                </c:pt>
                <c:pt idx="18">
                  <c:v>0.72760315675558729</c:v>
                </c:pt>
                <c:pt idx="19">
                  <c:v>0.79651569260900779</c:v>
                </c:pt>
                <c:pt idx="20">
                  <c:v>0.85380658694209011</c:v>
                </c:pt>
                <c:pt idx="21">
                  <c:v>0.89912118434425892</c:v>
                </c:pt>
                <c:pt idx="22">
                  <c:v>0.93322128790098446</c:v>
                </c:pt>
                <c:pt idx="23">
                  <c:v>0.95763524572601832</c:v>
                </c:pt>
                <c:pt idx="24">
                  <c:v>0.97426498545966034</c:v>
                </c:pt>
                <c:pt idx="25">
                  <c:v>0.98504197131713178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82-422C-89B5-5A75F39C3585}"/>
            </c:ext>
          </c:extLst>
        </c:ser>
        <c:ser>
          <c:idx val="3"/>
          <c:order val="3"/>
          <c:tx>
            <c:strRef>
              <c:f>データ!$B$1</c:f>
              <c:strCache>
                <c:ptCount val="1"/>
                <c:pt idx="0">
                  <c:v>全壊率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データ!$A$2:$A$21</c:f>
              <c:numCache>
                <c:formatCode>General</c:formatCode>
                <c:ptCount val="20"/>
                <c:pt idx="0">
                  <c:v>4.5</c:v>
                </c:pt>
                <c:pt idx="1">
                  <c:v>4.5999999999999996</c:v>
                </c:pt>
                <c:pt idx="2">
                  <c:v>4.7</c:v>
                </c:pt>
                <c:pt idx="3">
                  <c:v>4.8</c:v>
                </c:pt>
                <c:pt idx="4">
                  <c:v>4.9000000000000004</c:v>
                </c:pt>
                <c:pt idx="5">
                  <c:v>5</c:v>
                </c:pt>
                <c:pt idx="6">
                  <c:v>5.0999999999999996</c:v>
                </c:pt>
                <c:pt idx="7">
                  <c:v>5.2</c:v>
                </c:pt>
                <c:pt idx="8">
                  <c:v>5.3</c:v>
                </c:pt>
                <c:pt idx="9">
                  <c:v>5.4</c:v>
                </c:pt>
                <c:pt idx="10">
                  <c:v>5.5</c:v>
                </c:pt>
                <c:pt idx="11">
                  <c:v>5.6</c:v>
                </c:pt>
                <c:pt idx="12">
                  <c:v>5.7</c:v>
                </c:pt>
                <c:pt idx="13">
                  <c:v>5.8</c:v>
                </c:pt>
                <c:pt idx="14">
                  <c:v>5.9</c:v>
                </c:pt>
                <c:pt idx="15">
                  <c:v>5.9999999999999902</c:v>
                </c:pt>
                <c:pt idx="16">
                  <c:v>6.0999999999999899</c:v>
                </c:pt>
                <c:pt idx="17">
                  <c:v>6.2999999999999901</c:v>
                </c:pt>
                <c:pt idx="18">
                  <c:v>6.3999999999999897</c:v>
                </c:pt>
                <c:pt idx="19">
                  <c:v>6.4999999999999902</c:v>
                </c:pt>
              </c:numCache>
            </c:numRef>
          </c:xVal>
          <c:yVal>
            <c:numRef>
              <c:f>データ!$E$2:$E$21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2.0000000000000001E-4</c:v>
                </c:pt>
                <c:pt idx="9">
                  <c:v>0</c:v>
                </c:pt>
                <c:pt idx="10">
                  <c:v>5.0000000000000001E-4</c:v>
                </c:pt>
                <c:pt idx="11">
                  <c:v>5.0000000000000001E-4</c:v>
                </c:pt>
                <c:pt idx="12">
                  <c:v>7.8600000000000003E-2</c:v>
                </c:pt>
                <c:pt idx="13">
                  <c:v>0</c:v>
                </c:pt>
                <c:pt idx="14">
                  <c:v>5.8499999999999996E-2</c:v>
                </c:pt>
                <c:pt idx="15">
                  <c:v>1.95E-2</c:v>
                </c:pt>
                <c:pt idx="16">
                  <c:v>8.7100000000000011E-2</c:v>
                </c:pt>
                <c:pt idx="17">
                  <c:v>5.7099999999999998E-2</c:v>
                </c:pt>
                <c:pt idx="18">
                  <c:v>0.56899999999999995</c:v>
                </c:pt>
                <c:pt idx="19">
                  <c:v>0.434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482-422C-89B5-5A75F39C3585}"/>
            </c:ext>
          </c:extLst>
        </c:ser>
        <c:ser>
          <c:idx val="4"/>
          <c:order val="4"/>
          <c:tx>
            <c:strRef>
              <c:f>データ!$B$1:$C$1</c:f>
              <c:strCache>
                <c:ptCount val="1"/>
                <c:pt idx="0">
                  <c:v>全壊率 全半壊率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データ!$A$2:$A$21</c:f>
              <c:numCache>
                <c:formatCode>General</c:formatCode>
                <c:ptCount val="20"/>
                <c:pt idx="0">
                  <c:v>4.5</c:v>
                </c:pt>
                <c:pt idx="1">
                  <c:v>4.5999999999999996</c:v>
                </c:pt>
                <c:pt idx="2">
                  <c:v>4.7</c:v>
                </c:pt>
                <c:pt idx="3">
                  <c:v>4.8</c:v>
                </c:pt>
                <c:pt idx="4">
                  <c:v>4.9000000000000004</c:v>
                </c:pt>
                <c:pt idx="5">
                  <c:v>5</c:v>
                </c:pt>
                <c:pt idx="6">
                  <c:v>5.0999999999999996</c:v>
                </c:pt>
                <c:pt idx="7">
                  <c:v>5.2</c:v>
                </c:pt>
                <c:pt idx="8">
                  <c:v>5.3</c:v>
                </c:pt>
                <c:pt idx="9">
                  <c:v>5.4</c:v>
                </c:pt>
                <c:pt idx="10">
                  <c:v>5.5</c:v>
                </c:pt>
                <c:pt idx="11">
                  <c:v>5.6</c:v>
                </c:pt>
                <c:pt idx="12">
                  <c:v>5.7</c:v>
                </c:pt>
                <c:pt idx="13">
                  <c:v>5.8</c:v>
                </c:pt>
                <c:pt idx="14">
                  <c:v>5.9</c:v>
                </c:pt>
                <c:pt idx="15">
                  <c:v>5.9999999999999902</c:v>
                </c:pt>
                <c:pt idx="16">
                  <c:v>6.0999999999999899</c:v>
                </c:pt>
                <c:pt idx="17">
                  <c:v>6.2999999999999901</c:v>
                </c:pt>
                <c:pt idx="18">
                  <c:v>6.3999999999999897</c:v>
                </c:pt>
                <c:pt idx="19">
                  <c:v>6.4999999999999902</c:v>
                </c:pt>
              </c:numCache>
            </c:numRef>
          </c:xVal>
          <c:yVal>
            <c:numRef>
              <c:f>データ!$F$2:$F$21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5.0000000000000001E-4</c:v>
                </c:pt>
                <c:pt idx="7">
                  <c:v>1.1000000000000001E-3</c:v>
                </c:pt>
                <c:pt idx="8">
                  <c:v>5.9999999999999995E-4</c:v>
                </c:pt>
                <c:pt idx="9">
                  <c:v>0</c:v>
                </c:pt>
                <c:pt idx="10">
                  <c:v>6.0999999999999995E-3</c:v>
                </c:pt>
                <c:pt idx="11">
                  <c:v>8.199999999999999E-3</c:v>
                </c:pt>
                <c:pt idx="12">
                  <c:v>0.36249999999999999</c:v>
                </c:pt>
                <c:pt idx="13">
                  <c:v>3.6000000000000004E-2</c:v>
                </c:pt>
                <c:pt idx="14">
                  <c:v>0.30909999999999999</c:v>
                </c:pt>
                <c:pt idx="15">
                  <c:v>0.12990000000000002</c:v>
                </c:pt>
                <c:pt idx="16">
                  <c:v>0.35039999999999999</c:v>
                </c:pt>
                <c:pt idx="17">
                  <c:v>0.28570000000000001</c:v>
                </c:pt>
                <c:pt idx="18">
                  <c:v>0.81030000000000002</c:v>
                </c:pt>
                <c:pt idx="19">
                  <c:v>0.7238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482-422C-89B5-5A75F39C3585}"/>
            </c:ext>
          </c:extLst>
        </c:ser>
        <c:ser>
          <c:idx val="5"/>
          <c:order val="5"/>
          <c:tx>
            <c:strRef>
              <c:f>データ!$D$1</c:f>
              <c:strCache>
                <c:ptCount val="1"/>
                <c:pt idx="0">
                  <c:v>一部損壊以上率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bg1">
                  <a:lumMod val="75000"/>
                </a:schemeClr>
              </a:solidFill>
              <a:ln w="9525">
                <a:noFill/>
              </a:ln>
              <a:effectLst/>
            </c:spPr>
          </c:marker>
          <c:xVal>
            <c:numRef>
              <c:f>データ!$A$2:$A$21</c:f>
              <c:numCache>
                <c:formatCode>General</c:formatCode>
                <c:ptCount val="20"/>
                <c:pt idx="0">
                  <c:v>4.5</c:v>
                </c:pt>
                <c:pt idx="1">
                  <c:v>4.5999999999999996</c:v>
                </c:pt>
                <c:pt idx="2">
                  <c:v>4.7</c:v>
                </c:pt>
                <c:pt idx="3">
                  <c:v>4.8</c:v>
                </c:pt>
                <c:pt idx="4">
                  <c:v>4.9000000000000004</c:v>
                </c:pt>
                <c:pt idx="5">
                  <c:v>5</c:v>
                </c:pt>
                <c:pt idx="6">
                  <c:v>5.0999999999999996</c:v>
                </c:pt>
                <c:pt idx="7">
                  <c:v>5.2</c:v>
                </c:pt>
                <c:pt idx="8">
                  <c:v>5.3</c:v>
                </c:pt>
                <c:pt idx="9">
                  <c:v>5.4</c:v>
                </c:pt>
                <c:pt idx="10">
                  <c:v>5.5</c:v>
                </c:pt>
                <c:pt idx="11">
                  <c:v>5.6</c:v>
                </c:pt>
                <c:pt idx="12">
                  <c:v>5.7</c:v>
                </c:pt>
                <c:pt idx="13">
                  <c:v>5.8</c:v>
                </c:pt>
                <c:pt idx="14">
                  <c:v>5.9</c:v>
                </c:pt>
                <c:pt idx="15">
                  <c:v>5.9999999999999902</c:v>
                </c:pt>
                <c:pt idx="16">
                  <c:v>6.0999999999999899</c:v>
                </c:pt>
                <c:pt idx="17">
                  <c:v>6.2999999999999901</c:v>
                </c:pt>
                <c:pt idx="18">
                  <c:v>6.3999999999999897</c:v>
                </c:pt>
                <c:pt idx="19">
                  <c:v>6.4999999999999902</c:v>
                </c:pt>
              </c:numCache>
            </c:numRef>
          </c:xVal>
          <c:yVal>
            <c:numRef>
              <c:f>データ!$G$2:$G$21</c:f>
              <c:numCache>
                <c:formatCode>General</c:formatCode>
                <c:ptCount val="20"/>
                <c:pt idx="0">
                  <c:v>3.2000000000000002E-3</c:v>
                </c:pt>
                <c:pt idx="1">
                  <c:v>3.2000000000000002E-3</c:v>
                </c:pt>
                <c:pt idx="2">
                  <c:v>2.7000000000000001E-3</c:v>
                </c:pt>
                <c:pt idx="3">
                  <c:v>2.9999999999999997E-4</c:v>
                </c:pt>
                <c:pt idx="4">
                  <c:v>3.4999999999999996E-3</c:v>
                </c:pt>
                <c:pt idx="5">
                  <c:v>8.199999999999999E-3</c:v>
                </c:pt>
                <c:pt idx="6">
                  <c:v>4.1999999999999997E-3</c:v>
                </c:pt>
                <c:pt idx="7">
                  <c:v>1.4499999999999999E-2</c:v>
                </c:pt>
                <c:pt idx="8">
                  <c:v>5.2900000000000003E-2</c:v>
                </c:pt>
                <c:pt idx="9">
                  <c:v>5.0599999999999999E-2</c:v>
                </c:pt>
                <c:pt idx="10">
                  <c:v>0.11539999999999999</c:v>
                </c:pt>
                <c:pt idx="11">
                  <c:v>7.5999999999999998E-2</c:v>
                </c:pt>
                <c:pt idx="12">
                  <c:v>0.63049999999999995</c:v>
                </c:pt>
                <c:pt idx="13">
                  <c:v>0.15289999999999998</c:v>
                </c:pt>
                <c:pt idx="14">
                  <c:v>0.61060000000000003</c:v>
                </c:pt>
                <c:pt idx="15">
                  <c:v>0.39610000000000001</c:v>
                </c:pt>
                <c:pt idx="16">
                  <c:v>0.66200000000000003</c:v>
                </c:pt>
                <c:pt idx="17">
                  <c:v>1</c:v>
                </c:pt>
                <c:pt idx="1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482-422C-89B5-5A75F39C3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502088"/>
        <c:axId val="807499136"/>
      </c:scatterChart>
      <c:valAx>
        <c:axId val="807502088"/>
        <c:scaling>
          <c:orientation val="minMax"/>
          <c:max val="7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7499136"/>
        <c:crosses val="autoZero"/>
        <c:crossBetween val="midCat"/>
      </c:valAx>
      <c:valAx>
        <c:axId val="8074991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7502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'5_損失率曲線'!$I$5</c:f>
              <c:strCache>
                <c:ptCount val="1"/>
                <c:pt idx="0">
                  <c:v>損失率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'5_損失率曲線'!$A$6:$A$75</c:f>
              <c:numCache>
                <c:formatCode>General</c:formatCode>
                <c:ptCount val="7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</c:numCache>
            </c:numRef>
          </c:xVal>
          <c:yVal>
            <c:numRef>
              <c:f>'5_損失率曲線'!$I$6:$I$75</c:f>
              <c:numCache>
                <c:formatCode>General</c:formatCode>
                <c:ptCount val="70"/>
                <c:pt idx="0">
                  <c:v>9.6975490591849992E-42</c:v>
                </c:pt>
                <c:pt idx="1">
                  <c:v>1.867387698974541E-40</c:v>
                </c:pt>
                <c:pt idx="2">
                  <c:v>3.4214127246840959E-39</c:v>
                </c:pt>
                <c:pt idx="3">
                  <c:v>5.9645695061561469E-38</c:v>
                </c:pt>
                <c:pt idx="4">
                  <c:v>9.8937247231453172E-37</c:v>
                </c:pt>
                <c:pt idx="5">
                  <c:v>1.5615369637125568E-35</c:v>
                </c:pt>
                <c:pt idx="6">
                  <c:v>2.3450998326030849E-34</c:v>
                </c:pt>
                <c:pt idx="7">
                  <c:v>3.3511369707291351E-33</c:v>
                </c:pt>
                <c:pt idx="8">
                  <c:v>4.5566979198815927E-32</c:v>
                </c:pt>
                <c:pt idx="9">
                  <c:v>5.895779831429355E-31</c:v>
                </c:pt>
                <c:pt idx="10">
                  <c:v>7.2589081975691561E-30</c:v>
                </c:pt>
                <c:pt idx="11">
                  <c:v>8.5044611111496202E-29</c:v>
                </c:pt>
                <c:pt idx="12">
                  <c:v>9.4814452724231841E-28</c:v>
                </c:pt>
                <c:pt idx="13">
                  <c:v>1.0059160554930853E-26</c:v>
                </c:pt>
                <c:pt idx="14">
                  <c:v>1.0155844428878006E-25</c:v>
                </c:pt>
                <c:pt idx="15">
                  <c:v>9.7576574117080382E-25</c:v>
                </c:pt>
                <c:pt idx="16">
                  <c:v>8.921933075412461E-24</c:v>
                </c:pt>
                <c:pt idx="17">
                  <c:v>7.7636406841117811E-23</c:v>
                </c:pt>
                <c:pt idx="18">
                  <c:v>6.429464099903028E-22</c:v>
                </c:pt>
                <c:pt idx="19">
                  <c:v>5.0675434540568044E-21</c:v>
                </c:pt>
                <c:pt idx="20">
                  <c:v>3.8014102572614474E-20</c:v>
                </c:pt>
                <c:pt idx="21">
                  <c:v>2.7141168758086805E-19</c:v>
                </c:pt>
                <c:pt idx="22">
                  <c:v>1.8444281509115288E-18</c:v>
                </c:pt>
                <c:pt idx="23">
                  <c:v>1.1930485856230439E-17</c:v>
                </c:pt>
                <c:pt idx="24">
                  <c:v>7.3456891672607154E-17</c:v>
                </c:pt>
                <c:pt idx="25">
                  <c:v>4.3052757655242872E-16</c:v>
                </c:pt>
                <c:pt idx="26">
                  <c:v>2.4020423189062789E-15</c:v>
                </c:pt>
                <c:pt idx="27">
                  <c:v>1.2758223998531477E-14</c:v>
                </c:pt>
                <c:pt idx="28">
                  <c:v>6.4513389208976622E-14</c:v>
                </c:pt>
                <c:pt idx="29">
                  <c:v>3.1058569632475125E-13</c:v>
                </c:pt>
                <c:pt idx="30">
                  <c:v>1.4236682398187685E-12</c:v>
                </c:pt>
                <c:pt idx="31">
                  <c:v>6.2138077954854709E-12</c:v>
                </c:pt>
                <c:pt idx="32">
                  <c:v>2.5825979781261282E-11</c:v>
                </c:pt>
                <c:pt idx="33">
                  <c:v>1.0222020398612142E-10</c:v>
                </c:pt>
                <c:pt idx="34">
                  <c:v>3.8532894196359146E-10</c:v>
                </c:pt>
                <c:pt idx="35">
                  <c:v>1.3834993418364793E-9</c:v>
                </c:pt>
                <c:pt idx="36">
                  <c:v>4.7317341305400734E-9</c:v>
                </c:pt>
                <c:pt idx="37">
                  <c:v>1.5417093078891479E-8</c:v>
                </c:pt>
                <c:pt idx="38">
                  <c:v>4.7860702408434111E-8</c:v>
                </c:pt>
                <c:pt idx="39">
                  <c:v>1.4158394004795726E-7</c:v>
                </c:pt>
                <c:pt idx="40">
                  <c:v>3.9919792863553605E-7</c:v>
                </c:pt>
                <c:pt idx="41">
                  <c:v>1.0730336871239271E-6</c:v>
                </c:pt>
                <c:pt idx="42">
                  <c:v>2.7507857147441274E-6</c:v>
                </c:pt>
                <c:pt idx="43">
                  <c:v>6.7296024162241819E-6</c:v>
                </c:pt>
                <c:pt idx="44">
                  <c:v>1.5727795730064611E-5</c:v>
                </c:pt>
                <c:pt idx="45">
                  <c:v>3.5177680734948065E-5</c:v>
                </c:pt>
                <c:pt idx="46">
                  <c:v>7.552209598231987E-5</c:v>
                </c:pt>
                <c:pt idx="47">
                  <c:v>1.5635833613613165E-4</c:v>
                </c:pt>
                <c:pt idx="48">
                  <c:v>3.1432230404106686E-4</c:v>
                </c:pt>
                <c:pt idx="49">
                  <c:v>6.1898260513983518E-4</c:v>
                </c:pt>
                <c:pt idx="50">
                  <c:v>1.2054872406819456E-3</c:v>
                </c:pt>
                <c:pt idx="51">
                  <c:v>2.3390116383904765E-3</c:v>
                </c:pt>
                <c:pt idx="52">
                  <c:v>4.5306615534887289E-3</c:v>
                </c:pt>
                <c:pt idx="53">
                  <c:v>8.7183381781856008E-3</c:v>
                </c:pt>
                <c:pt idx="54">
                  <c:v>1.6496072620848685E-2</c:v>
                </c:pt>
                <c:pt idx="55">
                  <c:v>3.0314325186832334E-2</c:v>
                </c:pt>
                <c:pt idx="56">
                  <c:v>5.3498575941453221E-2</c:v>
                </c:pt>
                <c:pt idx="57">
                  <c:v>8.9897433508128427E-2</c:v>
                </c:pt>
                <c:pt idx="58">
                  <c:v>0.14304637955413835</c:v>
                </c:pt>
                <c:pt idx="59">
                  <c:v>0.2149511370385726</c:v>
                </c:pt>
                <c:pt idx="60">
                  <c:v>0.30488141827817433</c:v>
                </c:pt>
                <c:pt idx="61">
                  <c:v>0.40874032895771717</c:v>
                </c:pt>
                <c:pt idx="62">
                  <c:v>0.51945822903356564</c:v>
                </c:pt>
                <c:pt idx="63">
                  <c:v>0.62843710590739887</c:v>
                </c:pt>
                <c:pt idx="64">
                  <c:v>0.7275571150492588</c:v>
                </c:pt>
                <c:pt idx="65">
                  <c:v>0.8109702467680785</c:v>
                </c:pt>
                <c:pt idx="66">
                  <c:v>0.87603299133338974</c:v>
                </c:pt>
                <c:pt idx="67">
                  <c:v>0.92317744713986449</c:v>
                </c:pt>
                <c:pt idx="68">
                  <c:v>0.9549964714117013</c:v>
                </c:pt>
                <c:pt idx="69">
                  <c:v>0.97505914678079331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CC-421E-9C83-E18EA2505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7492904"/>
        <c:axId val="807489952"/>
      </c:scatterChart>
      <c:valAx>
        <c:axId val="807492904"/>
        <c:scaling>
          <c:orientation val="minMax"/>
          <c:max val="7"/>
          <c:min val="4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7489952"/>
        <c:crosses val="autoZero"/>
        <c:crossBetween val="midCat"/>
      </c:valAx>
      <c:valAx>
        <c:axId val="80748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07492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</xdr:colOff>
      <xdr:row>4</xdr:row>
      <xdr:rowOff>47625</xdr:rowOff>
    </xdr:from>
    <xdr:to>
      <xdr:col>11</xdr:col>
      <xdr:colOff>500062</xdr:colOff>
      <xdr:row>15</xdr:row>
      <xdr:rowOff>171450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45D10B8-AB88-4404-A014-0BF86A9F5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</xdr:colOff>
      <xdr:row>4</xdr:row>
      <xdr:rowOff>47625</xdr:rowOff>
    </xdr:from>
    <xdr:to>
      <xdr:col>11</xdr:col>
      <xdr:colOff>500062</xdr:colOff>
      <xdr:row>15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B9C7F5A-8486-460B-B3CA-2E3B95DA8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</xdr:colOff>
      <xdr:row>4</xdr:row>
      <xdr:rowOff>47625</xdr:rowOff>
    </xdr:from>
    <xdr:to>
      <xdr:col>11</xdr:col>
      <xdr:colOff>500062</xdr:colOff>
      <xdr:row>15</xdr:row>
      <xdr:rowOff>171450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924527F-55CB-43EC-A49C-E7B914C84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52387</xdr:rowOff>
    </xdr:from>
    <xdr:to>
      <xdr:col>11</xdr:col>
      <xdr:colOff>495300</xdr:colOff>
      <xdr:row>12</xdr:row>
      <xdr:rowOff>176212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F631A1B-BDE7-4719-954A-B61F38CEF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97797</xdr:colOff>
      <xdr:row>0</xdr:row>
      <xdr:rowOff>0</xdr:rowOff>
    </xdr:from>
    <xdr:to>
      <xdr:col>19</xdr:col>
      <xdr:colOff>297465</xdr:colOff>
      <xdr:row>18</xdr:row>
      <xdr:rowOff>175220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B4286E3-D9F2-4B8D-B51A-35F020817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7199" t="20768" r="9708" b="18322"/>
        <a:stretch/>
      </xdr:blipFill>
      <xdr:spPr>
        <a:xfrm>
          <a:off x="10228933" y="0"/>
          <a:ext cx="4356032" cy="45394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14568</xdr:colOff>
      <xdr:row>3</xdr:row>
      <xdr:rowOff>104494</xdr:rowOff>
    </xdr:from>
    <xdr:to>
      <xdr:col>16</xdr:col>
      <xdr:colOff>479612</xdr:colOff>
      <xdr:row>14</xdr:row>
      <xdr:rowOff>225519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D92BADA-5128-45B9-B37C-2FCB10CBD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8929-2E33-4910-B072-EF091AA11BB2}">
  <dimension ref="A1:G21"/>
  <sheetViews>
    <sheetView zoomScale="85" zoomScaleNormal="85" workbookViewId="0">
      <selection activeCell="D13" sqref="D13"/>
    </sheetView>
  </sheetViews>
  <sheetFormatPr defaultRowHeight="18.75" x14ac:dyDescent="0.4"/>
  <cols>
    <col min="1" max="1" width="25.625" customWidth="1"/>
    <col min="2" max="2" width="22.625" customWidth="1"/>
    <col min="3" max="3" width="27.25" bestFit="1" customWidth="1"/>
    <col min="4" max="4" width="25.125" bestFit="1" customWidth="1"/>
  </cols>
  <sheetData>
    <row r="1" spans="1:7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2</v>
      </c>
      <c r="F1" s="1" t="s">
        <v>3</v>
      </c>
      <c r="G1" s="1" t="s">
        <v>4</v>
      </c>
    </row>
    <row r="2" spans="1:7" x14ac:dyDescent="0.4">
      <c r="A2" s="1">
        <v>4.5</v>
      </c>
      <c r="B2" s="2">
        <v>0</v>
      </c>
      <c r="C2" s="2">
        <v>0</v>
      </c>
      <c r="D2" s="2">
        <v>0.32</v>
      </c>
      <c r="E2" s="1">
        <f>B2/100</f>
        <v>0</v>
      </c>
      <c r="F2" s="1">
        <f t="shared" ref="F2:G17" si="0">C2/100</f>
        <v>0</v>
      </c>
      <c r="G2" s="1">
        <f t="shared" si="0"/>
        <v>3.2000000000000002E-3</v>
      </c>
    </row>
    <row r="3" spans="1:7" x14ac:dyDescent="0.4">
      <c r="A3" s="1">
        <v>4.5999999999999996</v>
      </c>
      <c r="B3" s="2">
        <v>0</v>
      </c>
      <c r="C3" s="2">
        <v>0</v>
      </c>
      <c r="D3" s="2">
        <v>0.32</v>
      </c>
      <c r="E3" s="1">
        <f t="shared" ref="E3:E21" si="1">B3/100</f>
        <v>0</v>
      </c>
      <c r="F3" s="1">
        <f t="shared" si="0"/>
        <v>0</v>
      </c>
      <c r="G3" s="1">
        <f t="shared" si="0"/>
        <v>3.2000000000000002E-3</v>
      </c>
    </row>
    <row r="4" spans="1:7" x14ac:dyDescent="0.4">
      <c r="A4" s="1">
        <v>4.7</v>
      </c>
      <c r="B4" s="2">
        <v>0</v>
      </c>
      <c r="C4" s="2">
        <v>0</v>
      </c>
      <c r="D4" s="2">
        <v>0.27</v>
      </c>
      <c r="E4" s="1">
        <f t="shared" si="1"/>
        <v>0</v>
      </c>
      <c r="F4" s="1">
        <f t="shared" si="0"/>
        <v>0</v>
      </c>
      <c r="G4" s="1">
        <f t="shared" si="0"/>
        <v>2.7000000000000001E-3</v>
      </c>
    </row>
    <row r="5" spans="1:7" x14ac:dyDescent="0.4">
      <c r="A5" s="1">
        <v>4.8</v>
      </c>
      <c r="B5" s="2">
        <v>0</v>
      </c>
      <c r="C5" s="2">
        <v>0</v>
      </c>
      <c r="D5" s="2">
        <v>0.03</v>
      </c>
      <c r="E5" s="1">
        <f t="shared" si="1"/>
        <v>0</v>
      </c>
      <c r="F5" s="1">
        <f t="shared" si="0"/>
        <v>0</v>
      </c>
      <c r="G5" s="1">
        <f t="shared" si="0"/>
        <v>2.9999999999999997E-4</v>
      </c>
    </row>
    <row r="6" spans="1:7" x14ac:dyDescent="0.4">
      <c r="A6" s="1">
        <v>4.9000000000000004</v>
      </c>
      <c r="B6" s="2">
        <v>0</v>
      </c>
      <c r="C6" s="2">
        <v>0</v>
      </c>
      <c r="D6" s="2">
        <v>0.35</v>
      </c>
      <c r="E6" s="1">
        <f t="shared" si="1"/>
        <v>0</v>
      </c>
      <c r="F6" s="1">
        <f t="shared" si="0"/>
        <v>0</v>
      </c>
      <c r="G6" s="1">
        <f t="shared" si="0"/>
        <v>3.4999999999999996E-3</v>
      </c>
    </row>
    <row r="7" spans="1:7" x14ac:dyDescent="0.4">
      <c r="A7" s="1">
        <v>5</v>
      </c>
      <c r="B7" s="2">
        <v>0</v>
      </c>
      <c r="C7" s="2">
        <v>0</v>
      </c>
      <c r="D7" s="2">
        <v>0.82</v>
      </c>
      <c r="E7" s="1">
        <f t="shared" si="1"/>
        <v>0</v>
      </c>
      <c r="F7" s="1">
        <f t="shared" si="0"/>
        <v>0</v>
      </c>
      <c r="G7" s="1">
        <f t="shared" si="0"/>
        <v>8.199999999999999E-3</v>
      </c>
    </row>
    <row r="8" spans="1:7" x14ac:dyDescent="0.4">
      <c r="A8" s="1">
        <v>5.0999999999999996</v>
      </c>
      <c r="B8" s="2">
        <v>0</v>
      </c>
      <c r="C8" s="2">
        <v>0.05</v>
      </c>
      <c r="D8" s="2">
        <v>0.42</v>
      </c>
      <c r="E8" s="1">
        <f t="shared" si="1"/>
        <v>0</v>
      </c>
      <c r="F8" s="1">
        <f t="shared" si="0"/>
        <v>5.0000000000000001E-4</v>
      </c>
      <c r="G8" s="1">
        <f t="shared" si="0"/>
        <v>4.1999999999999997E-3</v>
      </c>
    </row>
    <row r="9" spans="1:7" x14ac:dyDescent="0.4">
      <c r="A9" s="1">
        <v>5.2</v>
      </c>
      <c r="B9" s="2">
        <v>0</v>
      </c>
      <c r="C9" s="2">
        <v>0.11</v>
      </c>
      <c r="D9" s="2">
        <v>1.45</v>
      </c>
      <c r="E9" s="1">
        <f t="shared" si="1"/>
        <v>0</v>
      </c>
      <c r="F9" s="1">
        <f t="shared" si="0"/>
        <v>1.1000000000000001E-3</v>
      </c>
      <c r="G9" s="1">
        <f t="shared" si="0"/>
        <v>1.4499999999999999E-2</v>
      </c>
    </row>
    <row r="10" spans="1:7" x14ac:dyDescent="0.4">
      <c r="A10" s="1">
        <v>5.3</v>
      </c>
      <c r="B10" s="2">
        <v>0.02</v>
      </c>
      <c r="C10" s="2">
        <v>0.06</v>
      </c>
      <c r="D10" s="2">
        <v>5.29</v>
      </c>
      <c r="E10" s="1">
        <f t="shared" si="1"/>
        <v>2.0000000000000001E-4</v>
      </c>
      <c r="F10" s="1">
        <f t="shared" si="0"/>
        <v>5.9999999999999995E-4</v>
      </c>
      <c r="G10" s="1">
        <f t="shared" si="0"/>
        <v>5.2900000000000003E-2</v>
      </c>
    </row>
    <row r="11" spans="1:7" x14ac:dyDescent="0.4">
      <c r="A11" s="1">
        <v>5.4</v>
      </c>
      <c r="B11" s="2">
        <v>0</v>
      </c>
      <c r="C11" s="2">
        <v>0</v>
      </c>
      <c r="D11" s="2">
        <v>5.0599999999999996</v>
      </c>
      <c r="E11" s="1">
        <f t="shared" si="1"/>
        <v>0</v>
      </c>
      <c r="F11" s="1">
        <f t="shared" si="0"/>
        <v>0</v>
      </c>
      <c r="G11" s="1">
        <f t="shared" si="0"/>
        <v>5.0599999999999999E-2</v>
      </c>
    </row>
    <row r="12" spans="1:7" x14ac:dyDescent="0.4">
      <c r="A12" s="1">
        <v>5.5</v>
      </c>
      <c r="B12" s="2">
        <v>0.05</v>
      </c>
      <c r="C12" s="2">
        <v>0.61</v>
      </c>
      <c r="D12" s="2">
        <v>11.54</v>
      </c>
      <c r="E12" s="1">
        <f t="shared" si="1"/>
        <v>5.0000000000000001E-4</v>
      </c>
      <c r="F12" s="1">
        <f t="shared" si="0"/>
        <v>6.0999999999999995E-3</v>
      </c>
      <c r="G12" s="1">
        <f t="shared" si="0"/>
        <v>0.11539999999999999</v>
      </c>
    </row>
    <row r="13" spans="1:7" x14ac:dyDescent="0.4">
      <c r="A13" s="1">
        <v>5.6</v>
      </c>
      <c r="B13" s="2">
        <v>0.05</v>
      </c>
      <c r="C13" s="2">
        <v>0.82</v>
      </c>
      <c r="D13" s="2">
        <v>7.6</v>
      </c>
      <c r="E13" s="1">
        <f t="shared" si="1"/>
        <v>5.0000000000000001E-4</v>
      </c>
      <c r="F13" s="1">
        <f t="shared" si="0"/>
        <v>8.199999999999999E-3</v>
      </c>
      <c r="G13" s="1">
        <f t="shared" si="0"/>
        <v>7.5999999999999998E-2</v>
      </c>
    </row>
    <row r="14" spans="1:7" x14ac:dyDescent="0.4">
      <c r="A14" s="1">
        <v>5.7</v>
      </c>
      <c r="B14" s="2">
        <v>7.86</v>
      </c>
      <c r="C14" s="2">
        <v>36.25</v>
      </c>
      <c r="D14" s="2">
        <v>63.05</v>
      </c>
      <c r="E14" s="1">
        <f t="shared" si="1"/>
        <v>7.8600000000000003E-2</v>
      </c>
      <c r="F14" s="1">
        <f t="shared" si="0"/>
        <v>0.36249999999999999</v>
      </c>
      <c r="G14" s="1">
        <f t="shared" si="0"/>
        <v>0.63049999999999995</v>
      </c>
    </row>
    <row r="15" spans="1:7" x14ac:dyDescent="0.4">
      <c r="A15" s="1">
        <v>5.8</v>
      </c>
      <c r="B15" s="2">
        <v>0</v>
      </c>
      <c r="C15" s="2">
        <v>3.6</v>
      </c>
      <c r="D15" s="2">
        <v>15.29</v>
      </c>
      <c r="E15" s="1">
        <f t="shared" si="1"/>
        <v>0</v>
      </c>
      <c r="F15" s="1">
        <f t="shared" si="0"/>
        <v>3.6000000000000004E-2</v>
      </c>
      <c r="G15" s="1">
        <f t="shared" si="0"/>
        <v>0.15289999999999998</v>
      </c>
    </row>
    <row r="16" spans="1:7" x14ac:dyDescent="0.4">
      <c r="A16" s="1">
        <v>5.9</v>
      </c>
      <c r="B16" s="2">
        <v>5.85</v>
      </c>
      <c r="C16" s="2">
        <v>30.91</v>
      </c>
      <c r="D16" s="2">
        <v>61.06</v>
      </c>
      <c r="E16" s="1">
        <f t="shared" si="1"/>
        <v>5.8499999999999996E-2</v>
      </c>
      <c r="F16" s="1">
        <f t="shared" si="0"/>
        <v>0.30909999999999999</v>
      </c>
      <c r="G16" s="1">
        <f t="shared" si="0"/>
        <v>0.61060000000000003</v>
      </c>
    </row>
    <row r="17" spans="1:7" x14ac:dyDescent="0.4">
      <c r="A17" s="1">
        <v>5.9999999999999902</v>
      </c>
      <c r="B17" s="2">
        <v>1.95</v>
      </c>
      <c r="C17" s="2">
        <v>12.99</v>
      </c>
      <c r="D17" s="2">
        <v>39.61</v>
      </c>
      <c r="E17" s="1">
        <f t="shared" si="1"/>
        <v>1.95E-2</v>
      </c>
      <c r="F17" s="1">
        <f t="shared" si="0"/>
        <v>0.12990000000000002</v>
      </c>
      <c r="G17" s="1">
        <f t="shared" si="0"/>
        <v>0.39610000000000001</v>
      </c>
    </row>
    <row r="18" spans="1:7" x14ac:dyDescent="0.4">
      <c r="A18" s="1">
        <v>6.0999999999999899</v>
      </c>
      <c r="B18" s="2">
        <v>8.7100000000000009</v>
      </c>
      <c r="C18" s="2">
        <v>35.04</v>
      </c>
      <c r="D18" s="2">
        <v>66.2</v>
      </c>
      <c r="E18" s="1">
        <f t="shared" si="1"/>
        <v>8.7100000000000011E-2</v>
      </c>
      <c r="F18" s="1">
        <f t="shared" ref="F18:F21" si="2">C18/100</f>
        <v>0.35039999999999999</v>
      </c>
      <c r="G18" s="1">
        <f t="shared" ref="G18:G21" si="3">D18/100</f>
        <v>0.66200000000000003</v>
      </c>
    </row>
    <row r="19" spans="1:7" x14ac:dyDescent="0.4">
      <c r="A19" s="1">
        <v>6.2999999999999901</v>
      </c>
      <c r="B19" s="2">
        <v>5.71</v>
      </c>
      <c r="C19" s="2">
        <v>28.57</v>
      </c>
      <c r="D19" s="2">
        <v>100</v>
      </c>
      <c r="E19" s="1">
        <f t="shared" si="1"/>
        <v>5.7099999999999998E-2</v>
      </c>
      <c r="F19" s="1">
        <f t="shared" si="2"/>
        <v>0.28570000000000001</v>
      </c>
      <c r="G19" s="1">
        <f t="shared" si="3"/>
        <v>1</v>
      </c>
    </row>
    <row r="20" spans="1:7" x14ac:dyDescent="0.4">
      <c r="A20" s="1">
        <v>6.3999999999999897</v>
      </c>
      <c r="B20" s="2">
        <v>56.9</v>
      </c>
      <c r="C20" s="2">
        <v>81.03</v>
      </c>
      <c r="D20" s="2">
        <v>100</v>
      </c>
      <c r="E20" s="1">
        <f t="shared" si="1"/>
        <v>0.56899999999999995</v>
      </c>
      <c r="F20" s="1">
        <f t="shared" si="2"/>
        <v>0.81030000000000002</v>
      </c>
      <c r="G20" s="1">
        <f t="shared" si="3"/>
        <v>1</v>
      </c>
    </row>
    <row r="21" spans="1:7" x14ac:dyDescent="0.4">
      <c r="A21" s="1">
        <v>6.4999999999999902</v>
      </c>
      <c r="B21" s="2">
        <v>43.4</v>
      </c>
      <c r="C21" s="2">
        <v>72.38</v>
      </c>
      <c r="D21" s="2"/>
      <c r="E21" s="1">
        <f t="shared" si="1"/>
        <v>0.434</v>
      </c>
      <c r="F21" s="1">
        <f t="shared" si="2"/>
        <v>0.7238</v>
      </c>
      <c r="G21" s="1"/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13AED-58A8-4A54-8A5B-3387A99A5448}">
  <dimension ref="A1:I11"/>
  <sheetViews>
    <sheetView workbookViewId="0">
      <selection activeCell="C17" sqref="C17"/>
    </sheetView>
  </sheetViews>
  <sheetFormatPr defaultRowHeight="18.75" x14ac:dyDescent="0.4"/>
  <cols>
    <col min="1" max="1" width="26.5" bestFit="1" customWidth="1"/>
    <col min="2" max="2" width="9.125" bestFit="1" customWidth="1"/>
    <col min="3" max="3" width="9.125" customWidth="1"/>
    <col min="4" max="4" width="11" bestFit="1" customWidth="1"/>
    <col min="8" max="8" width="12.625" customWidth="1"/>
    <col min="9" max="9" width="12.25" bestFit="1" customWidth="1"/>
  </cols>
  <sheetData>
    <row r="1" spans="1:9" x14ac:dyDescent="0.4">
      <c r="A1" s="1" t="s">
        <v>1</v>
      </c>
      <c r="B1" s="5" t="s">
        <v>2</v>
      </c>
      <c r="C1" s="6"/>
      <c r="D1" s="1" t="s">
        <v>0</v>
      </c>
      <c r="F1" s="4" t="s">
        <v>5</v>
      </c>
      <c r="G1" s="4"/>
      <c r="H1" s="4" t="s">
        <v>8</v>
      </c>
      <c r="I1" s="4"/>
    </row>
    <row r="2" spans="1:9" x14ac:dyDescent="0.4">
      <c r="A2" s="1">
        <v>5.3</v>
      </c>
      <c r="B2" s="1">
        <v>0.02</v>
      </c>
      <c r="C2" s="3">
        <f>B2/100</f>
        <v>2.0000000000000001E-4</v>
      </c>
      <c r="D2" s="3">
        <f>NORMSINV(C2)</f>
        <v>-3.5400837992061454</v>
      </c>
      <c r="F2" s="1" t="s">
        <v>6</v>
      </c>
      <c r="G2" s="1" t="s">
        <v>7</v>
      </c>
      <c r="H2" s="1" t="s">
        <v>9</v>
      </c>
      <c r="I2" s="1" t="s">
        <v>10</v>
      </c>
    </row>
    <row r="3" spans="1:9" x14ac:dyDescent="0.4">
      <c r="A3" s="1">
        <v>5.5</v>
      </c>
      <c r="B3" s="1">
        <v>0.05</v>
      </c>
      <c r="C3" s="3">
        <f t="shared" ref="C3:C11" si="0">B3/100</f>
        <v>5.0000000000000001E-4</v>
      </c>
      <c r="D3" s="3">
        <f t="shared" ref="D3:D11" si="1">NORMSINV(C3)</f>
        <v>-3.2905267314918945</v>
      </c>
      <c r="F3" s="1">
        <f>2.83</f>
        <v>2.83</v>
      </c>
      <c r="G3" s="1">
        <f>-18.6</f>
        <v>-18.600000000000001</v>
      </c>
      <c r="H3" s="8">
        <f>-G3/F3</f>
        <v>6.5724381625441701</v>
      </c>
      <c r="I3" s="7">
        <f>1/F3</f>
        <v>0.35335689045936397</v>
      </c>
    </row>
    <row r="4" spans="1:9" x14ac:dyDescent="0.4">
      <c r="A4" s="1">
        <v>5.6</v>
      </c>
      <c r="B4" s="1">
        <v>0.05</v>
      </c>
      <c r="C4" s="3">
        <f t="shared" si="0"/>
        <v>5.0000000000000001E-4</v>
      </c>
      <c r="D4" s="3">
        <f t="shared" si="1"/>
        <v>-3.2905267314918945</v>
      </c>
    </row>
    <row r="5" spans="1:9" x14ac:dyDescent="0.4">
      <c r="A5" s="1">
        <v>5.7</v>
      </c>
      <c r="B5" s="1">
        <v>7.86</v>
      </c>
      <c r="C5" s="3">
        <f t="shared" si="0"/>
        <v>7.8600000000000003E-2</v>
      </c>
      <c r="D5" s="3">
        <f t="shared" si="1"/>
        <v>-1.4145516278156347</v>
      </c>
    </row>
    <row r="6" spans="1:9" x14ac:dyDescent="0.4">
      <c r="A6" s="1">
        <v>5.9</v>
      </c>
      <c r="B6" s="1">
        <v>5.85</v>
      </c>
      <c r="C6" s="3">
        <f t="shared" si="0"/>
        <v>5.8499999999999996E-2</v>
      </c>
      <c r="D6" s="3">
        <f t="shared" si="1"/>
        <v>-1.5674908641334397</v>
      </c>
    </row>
    <row r="7" spans="1:9" x14ac:dyDescent="0.4">
      <c r="A7" s="1">
        <v>5.9999999999999902</v>
      </c>
      <c r="B7" s="1">
        <v>1.95</v>
      </c>
      <c r="C7" s="3">
        <f t="shared" si="0"/>
        <v>1.95E-2</v>
      </c>
      <c r="D7" s="3">
        <f t="shared" si="1"/>
        <v>-2.0641868904004026</v>
      </c>
    </row>
    <row r="8" spans="1:9" x14ac:dyDescent="0.4">
      <c r="A8" s="1">
        <v>6.0999999999999899</v>
      </c>
      <c r="B8" s="1">
        <v>8.7100000000000009</v>
      </c>
      <c r="C8" s="3">
        <f t="shared" si="0"/>
        <v>8.7100000000000011E-2</v>
      </c>
      <c r="D8" s="3">
        <f t="shared" si="1"/>
        <v>-1.358831465652997</v>
      </c>
    </row>
    <row r="9" spans="1:9" x14ac:dyDescent="0.4">
      <c r="A9" s="1">
        <v>6.2999999999999901</v>
      </c>
      <c r="B9" s="1">
        <v>5.71</v>
      </c>
      <c r="C9" s="3">
        <f t="shared" si="0"/>
        <v>5.7099999999999998E-2</v>
      </c>
      <c r="D9" s="3">
        <f t="shared" si="1"/>
        <v>-1.5795934510255878</v>
      </c>
    </row>
    <row r="10" spans="1:9" x14ac:dyDescent="0.4">
      <c r="A10" s="1">
        <v>6.3999999999999897</v>
      </c>
      <c r="B10" s="1">
        <v>56.9</v>
      </c>
      <c r="C10" s="3">
        <f t="shared" si="0"/>
        <v>0.56899999999999995</v>
      </c>
      <c r="D10" s="3">
        <f t="shared" si="1"/>
        <v>0.17382881250166229</v>
      </c>
    </row>
    <row r="11" spans="1:9" x14ac:dyDescent="0.4">
      <c r="A11" s="1">
        <v>6.4999999999999902</v>
      </c>
      <c r="B11" s="1">
        <v>43.4</v>
      </c>
      <c r="C11" s="3">
        <f t="shared" si="0"/>
        <v>0.434</v>
      </c>
      <c r="D11" s="3">
        <f t="shared" si="1"/>
        <v>-0.16619944017035887</v>
      </c>
    </row>
  </sheetData>
  <autoFilter ref="A1:B1" xr:uid="{8D013AED-58A8-4A54-8A5B-3387A99A5448}">
    <sortState xmlns:xlrd2="http://schemas.microsoft.com/office/spreadsheetml/2017/richdata2" ref="A2:B11">
      <sortCondition ref="A1"/>
    </sortState>
  </autoFilter>
  <mergeCells count="3">
    <mergeCell ref="B1:C1"/>
    <mergeCell ref="F1:G1"/>
    <mergeCell ref="H1:I1"/>
  </mergeCells>
  <phoneticPr fontId="18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0C5D-CB81-4796-9C19-6C38DCD0163D}">
  <dimension ref="A1:I14"/>
  <sheetViews>
    <sheetView workbookViewId="0">
      <selection activeCell="A14" sqref="A14"/>
    </sheetView>
  </sheetViews>
  <sheetFormatPr defaultRowHeight="18.75" x14ac:dyDescent="0.4"/>
  <cols>
    <col min="1" max="1" width="26.5" bestFit="1" customWidth="1"/>
    <col min="2" max="2" width="9.125" bestFit="1" customWidth="1"/>
    <col min="3" max="3" width="9.125" customWidth="1"/>
    <col min="4" max="4" width="11" bestFit="1" customWidth="1"/>
    <col min="6" max="6" width="10" bestFit="1" customWidth="1"/>
    <col min="8" max="8" width="12.625" customWidth="1"/>
    <col min="9" max="9" width="12.25" bestFit="1" customWidth="1"/>
  </cols>
  <sheetData>
    <row r="1" spans="1:9" x14ac:dyDescent="0.4">
      <c r="A1" s="1" t="s">
        <v>1</v>
      </c>
      <c r="B1" s="4" t="s">
        <v>3</v>
      </c>
      <c r="C1" s="4"/>
      <c r="D1" s="1" t="s">
        <v>0</v>
      </c>
      <c r="F1" s="4" t="s">
        <v>5</v>
      </c>
      <c r="G1" s="4"/>
      <c r="H1" s="4" t="s">
        <v>8</v>
      </c>
      <c r="I1" s="4"/>
    </row>
    <row r="2" spans="1:9" x14ac:dyDescent="0.4">
      <c r="A2" s="1">
        <v>5.0999999999999996</v>
      </c>
      <c r="B2" s="1">
        <v>0.05</v>
      </c>
      <c r="C2" s="1">
        <f>B2/100</f>
        <v>5.0000000000000001E-4</v>
      </c>
      <c r="D2" s="1">
        <f>NORMSINV(C2)</f>
        <v>-3.2905267314918945</v>
      </c>
      <c r="F2" s="1" t="s">
        <v>6</v>
      </c>
      <c r="G2" s="1" t="s">
        <v>7</v>
      </c>
      <c r="H2" s="1" t="s">
        <v>9</v>
      </c>
      <c r="I2" s="1" t="s">
        <v>10</v>
      </c>
    </row>
    <row r="3" spans="1:9" x14ac:dyDescent="0.4">
      <c r="A3" s="1">
        <v>5.3</v>
      </c>
      <c r="B3" s="1">
        <v>0.06</v>
      </c>
      <c r="C3" s="1">
        <f t="shared" ref="C3:C14" si="0">B3/100</f>
        <v>5.9999999999999995E-4</v>
      </c>
      <c r="D3" s="1">
        <f t="shared" ref="D3:D14" si="1">NORMSINV(C3)</f>
        <v>-3.2388801183529772</v>
      </c>
      <c r="F3" s="8">
        <f>2.9423</f>
        <v>2.9422999999999999</v>
      </c>
      <c r="G3" s="1">
        <f>-18.43</f>
        <v>-18.43</v>
      </c>
      <c r="H3" s="8">
        <f>-G3/F3</f>
        <v>6.2638072256398054</v>
      </c>
      <c r="I3" s="7">
        <f>1/F3</f>
        <v>0.33987016959521466</v>
      </c>
    </row>
    <row r="4" spans="1:9" x14ac:dyDescent="0.4">
      <c r="A4" s="1">
        <v>5.2</v>
      </c>
      <c r="B4" s="1">
        <v>0.11</v>
      </c>
      <c r="C4" s="1">
        <f t="shared" si="0"/>
        <v>1.1000000000000001E-3</v>
      </c>
      <c r="D4" s="1">
        <f t="shared" si="1"/>
        <v>-3.0618141517617574</v>
      </c>
    </row>
    <row r="5" spans="1:9" x14ac:dyDescent="0.4">
      <c r="A5" s="1">
        <v>5.5</v>
      </c>
      <c r="B5" s="1">
        <v>0.61</v>
      </c>
      <c r="C5" s="1">
        <f t="shared" si="0"/>
        <v>6.0999999999999995E-3</v>
      </c>
      <c r="D5" s="1">
        <f t="shared" si="1"/>
        <v>-2.5063059597918933</v>
      </c>
    </row>
    <row r="6" spans="1:9" x14ac:dyDescent="0.4">
      <c r="A6" s="1">
        <v>5.6</v>
      </c>
      <c r="B6" s="1">
        <v>0.82</v>
      </c>
      <c r="C6" s="1">
        <f t="shared" si="0"/>
        <v>8.199999999999999E-3</v>
      </c>
      <c r="D6" s="1">
        <f t="shared" si="1"/>
        <v>-2.3998899842914176</v>
      </c>
    </row>
    <row r="7" spans="1:9" x14ac:dyDescent="0.4">
      <c r="A7" s="1">
        <v>5.8</v>
      </c>
      <c r="B7" s="1">
        <v>3.6</v>
      </c>
      <c r="C7" s="1">
        <f t="shared" si="0"/>
        <v>3.6000000000000004E-2</v>
      </c>
      <c r="D7" s="1">
        <f t="shared" si="1"/>
        <v>-1.7991181068379667</v>
      </c>
    </row>
    <row r="8" spans="1:9" x14ac:dyDescent="0.4">
      <c r="A8" s="1">
        <v>5.9999999999999902</v>
      </c>
      <c r="B8" s="1">
        <v>12.99</v>
      </c>
      <c r="C8" s="1">
        <f t="shared" si="0"/>
        <v>0.12990000000000002</v>
      </c>
      <c r="D8" s="1">
        <f t="shared" si="1"/>
        <v>-1.1268639673687271</v>
      </c>
    </row>
    <row r="9" spans="1:9" x14ac:dyDescent="0.4">
      <c r="A9" s="1">
        <v>6.2999999999999901</v>
      </c>
      <c r="B9" s="1">
        <v>28.57</v>
      </c>
      <c r="C9" s="1">
        <f t="shared" si="0"/>
        <v>0.28570000000000001</v>
      </c>
      <c r="D9" s="1">
        <f t="shared" si="1"/>
        <v>-0.56599085091781065</v>
      </c>
    </row>
    <row r="10" spans="1:9" x14ac:dyDescent="0.4">
      <c r="A10" s="1">
        <v>5.9</v>
      </c>
      <c r="B10" s="1">
        <v>30.91</v>
      </c>
      <c r="C10" s="1">
        <f t="shared" si="0"/>
        <v>0.30909999999999999</v>
      </c>
      <c r="D10" s="1">
        <f t="shared" si="1"/>
        <v>-0.49840303221575916</v>
      </c>
    </row>
    <row r="11" spans="1:9" x14ac:dyDescent="0.4">
      <c r="A11" s="1">
        <v>6.0999999999999899</v>
      </c>
      <c r="B11" s="1">
        <v>35.04</v>
      </c>
      <c r="C11" s="1">
        <f t="shared" si="0"/>
        <v>0.35039999999999999</v>
      </c>
      <c r="D11" s="1">
        <f t="shared" si="1"/>
        <v>-0.3842407743100334</v>
      </c>
    </row>
    <row r="12" spans="1:9" x14ac:dyDescent="0.4">
      <c r="A12" s="1">
        <v>5.7</v>
      </c>
      <c r="B12" s="1">
        <v>36.25</v>
      </c>
      <c r="C12" s="1">
        <f>B12/100</f>
        <v>0.36249999999999999</v>
      </c>
      <c r="D12" s="1">
        <f t="shared" si="1"/>
        <v>-0.35178434493515626</v>
      </c>
    </row>
    <row r="13" spans="1:9" x14ac:dyDescent="0.4">
      <c r="A13" s="1">
        <v>6.4999999999999902</v>
      </c>
      <c r="B13" s="1">
        <v>72.38</v>
      </c>
      <c r="C13" s="1">
        <f t="shared" si="0"/>
        <v>0.7238</v>
      </c>
      <c r="D13" s="1">
        <f t="shared" si="1"/>
        <v>0.5941676311794325</v>
      </c>
    </row>
    <row r="14" spans="1:9" x14ac:dyDescent="0.4">
      <c r="A14" s="1">
        <v>6.3999999999999897</v>
      </c>
      <c r="B14" s="1">
        <v>81.03</v>
      </c>
      <c r="C14" s="1">
        <f t="shared" si="0"/>
        <v>0.81030000000000002</v>
      </c>
      <c r="D14" s="1">
        <f t="shared" si="1"/>
        <v>0.87900235305678975</v>
      </c>
    </row>
  </sheetData>
  <autoFilter ref="A1:B1" xr:uid="{8D013AED-58A8-4A54-8A5B-3387A99A5448}">
    <sortState xmlns:xlrd2="http://schemas.microsoft.com/office/spreadsheetml/2017/richdata2" ref="A2:C21">
      <sortCondition ref="B1"/>
    </sortState>
  </autoFilter>
  <mergeCells count="3">
    <mergeCell ref="B1:C1"/>
    <mergeCell ref="F1:G1"/>
    <mergeCell ref="H1:I1"/>
  </mergeCells>
  <phoneticPr fontId="18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8A49-E60F-44A8-BA04-FB60A56370AE}">
  <dimension ref="A1:I18"/>
  <sheetViews>
    <sheetView workbookViewId="0">
      <selection activeCell="B4" sqref="B4"/>
    </sheetView>
  </sheetViews>
  <sheetFormatPr defaultRowHeight="18.75" x14ac:dyDescent="0.4"/>
  <cols>
    <col min="1" max="1" width="26.5" bestFit="1" customWidth="1"/>
    <col min="2" max="2" width="9.125" bestFit="1" customWidth="1"/>
    <col min="3" max="3" width="9.125" customWidth="1"/>
    <col min="4" max="4" width="11" bestFit="1" customWidth="1"/>
    <col min="6" max="6" width="10" bestFit="1" customWidth="1"/>
    <col min="8" max="8" width="12.625" customWidth="1"/>
    <col min="9" max="9" width="12.25" bestFit="1" customWidth="1"/>
  </cols>
  <sheetData>
    <row r="1" spans="1:9" x14ac:dyDescent="0.4">
      <c r="A1" s="1" t="s">
        <v>1</v>
      </c>
      <c r="B1" s="4" t="s">
        <v>4</v>
      </c>
      <c r="C1" s="4"/>
      <c r="D1" s="1" t="s">
        <v>0</v>
      </c>
      <c r="F1" s="4" t="s">
        <v>5</v>
      </c>
      <c r="G1" s="4"/>
      <c r="H1" s="4" t="s">
        <v>8</v>
      </c>
      <c r="I1" s="4"/>
    </row>
    <row r="2" spans="1:9" x14ac:dyDescent="0.4">
      <c r="A2" s="1">
        <v>4.8</v>
      </c>
      <c r="B2" s="1">
        <v>0.03</v>
      </c>
      <c r="C2" s="1">
        <f>B2/100</f>
        <v>2.9999999999999997E-4</v>
      </c>
      <c r="D2" s="1">
        <f>NORMSINV(C2)</f>
        <v>-3.4316144036232696</v>
      </c>
      <c r="F2" s="1" t="s">
        <v>6</v>
      </c>
      <c r="G2" s="1" t="s">
        <v>7</v>
      </c>
      <c r="H2" s="1" t="s">
        <v>9</v>
      </c>
      <c r="I2" s="1" t="s">
        <v>10</v>
      </c>
    </row>
    <row r="3" spans="1:9" x14ac:dyDescent="0.4">
      <c r="A3" s="1">
        <v>4.7</v>
      </c>
      <c r="B3" s="1">
        <v>0.27</v>
      </c>
      <c r="C3" s="1">
        <f t="shared" ref="C3:C16" si="0">B3/100</f>
        <v>2.7000000000000001E-3</v>
      </c>
      <c r="D3" s="1">
        <f t="shared" ref="D3:D18" si="1">NORMSINV(C3)</f>
        <v>-2.7821504537846065</v>
      </c>
      <c r="F3" s="8">
        <f>2.2366</f>
        <v>2.2366000000000001</v>
      </c>
      <c r="G3" s="1">
        <f>-13.485</f>
        <v>-13.484999999999999</v>
      </c>
      <c r="H3" s="8">
        <f>-G3/F3</f>
        <v>6.0292408119467042</v>
      </c>
      <c r="I3" s="7">
        <f>1/F3</f>
        <v>0.44710721631047123</v>
      </c>
    </row>
    <row r="4" spans="1:9" x14ac:dyDescent="0.4">
      <c r="A4" s="1">
        <v>4.5</v>
      </c>
      <c r="B4" s="1">
        <v>0.32</v>
      </c>
      <c r="C4" s="1">
        <f t="shared" si="0"/>
        <v>3.2000000000000002E-3</v>
      </c>
      <c r="D4" s="1">
        <f t="shared" si="1"/>
        <v>-2.7265513165043962</v>
      </c>
    </row>
    <row r="5" spans="1:9" x14ac:dyDescent="0.4">
      <c r="A5" s="1">
        <v>4.5999999999999996</v>
      </c>
      <c r="B5" s="1">
        <v>0.32</v>
      </c>
      <c r="C5" s="1">
        <f t="shared" si="0"/>
        <v>3.2000000000000002E-3</v>
      </c>
      <c r="D5" s="1">
        <f t="shared" si="1"/>
        <v>-2.7265513165043962</v>
      </c>
    </row>
    <row r="6" spans="1:9" x14ac:dyDescent="0.4">
      <c r="A6" s="1">
        <v>4.9000000000000004</v>
      </c>
      <c r="B6" s="1">
        <v>0.35</v>
      </c>
      <c r="C6" s="1">
        <f t="shared" si="0"/>
        <v>3.4999999999999996E-3</v>
      </c>
      <c r="D6" s="1">
        <f t="shared" si="1"/>
        <v>-2.6968442608781253</v>
      </c>
    </row>
    <row r="7" spans="1:9" x14ac:dyDescent="0.4">
      <c r="A7" s="1">
        <v>5.0999999999999996</v>
      </c>
      <c r="B7" s="1">
        <v>0.42</v>
      </c>
      <c r="C7" s="1">
        <f t="shared" si="0"/>
        <v>4.1999999999999997E-3</v>
      </c>
      <c r="D7" s="1">
        <f t="shared" si="1"/>
        <v>-2.635554238190343</v>
      </c>
    </row>
    <row r="8" spans="1:9" x14ac:dyDescent="0.4">
      <c r="A8" s="1">
        <v>5</v>
      </c>
      <c r="B8" s="1">
        <v>0.82</v>
      </c>
      <c r="C8" s="1">
        <f t="shared" si="0"/>
        <v>8.199999999999999E-3</v>
      </c>
      <c r="D8" s="1">
        <f t="shared" si="1"/>
        <v>-2.3998899842914176</v>
      </c>
    </row>
    <row r="9" spans="1:9" x14ac:dyDescent="0.4">
      <c r="A9" s="1">
        <v>5.2</v>
      </c>
      <c r="B9" s="1">
        <v>1.45</v>
      </c>
      <c r="C9" s="1">
        <f t="shared" si="0"/>
        <v>1.4499999999999999E-2</v>
      </c>
      <c r="D9" s="1">
        <f t="shared" si="1"/>
        <v>-2.1834865280065592</v>
      </c>
    </row>
    <row r="10" spans="1:9" x14ac:dyDescent="0.4">
      <c r="A10" s="1">
        <v>5.4</v>
      </c>
      <c r="B10" s="1">
        <v>5.0599999999999996</v>
      </c>
      <c r="C10" s="1">
        <f t="shared" si="0"/>
        <v>5.0599999999999999E-2</v>
      </c>
      <c r="D10" s="1">
        <f t="shared" si="1"/>
        <v>-1.6390636712361906</v>
      </c>
    </row>
    <row r="11" spans="1:9" x14ac:dyDescent="0.4">
      <c r="A11" s="1">
        <v>5.3</v>
      </c>
      <c r="B11" s="1">
        <v>5.29</v>
      </c>
      <c r="C11" s="1">
        <f t="shared" si="0"/>
        <v>5.2900000000000003E-2</v>
      </c>
      <c r="D11" s="1">
        <f t="shared" si="1"/>
        <v>-1.6173627568992357</v>
      </c>
    </row>
    <row r="12" spans="1:9" x14ac:dyDescent="0.4">
      <c r="A12" s="1">
        <v>5.6</v>
      </c>
      <c r="B12" s="1">
        <v>7.6</v>
      </c>
      <c r="C12" s="1">
        <f t="shared" si="0"/>
        <v>7.5999999999999998E-2</v>
      </c>
      <c r="D12" s="1">
        <f t="shared" si="1"/>
        <v>-1.4325027208258112</v>
      </c>
    </row>
    <row r="13" spans="1:9" x14ac:dyDescent="0.4">
      <c r="A13" s="1">
        <v>5.5</v>
      </c>
      <c r="B13" s="1">
        <v>11.54</v>
      </c>
      <c r="C13" s="1">
        <f t="shared" si="0"/>
        <v>0.11539999999999999</v>
      </c>
      <c r="D13" s="1">
        <f t="shared" si="1"/>
        <v>-1.1983006336839004</v>
      </c>
    </row>
    <row r="14" spans="1:9" x14ac:dyDescent="0.4">
      <c r="A14" s="1">
        <v>5.8</v>
      </c>
      <c r="B14" s="1">
        <v>15.29</v>
      </c>
      <c r="C14" s="1">
        <f>B14/100</f>
        <v>0.15289999999999998</v>
      </c>
      <c r="D14" s="1">
        <f t="shared" si="1"/>
        <v>-1.024074685763404</v>
      </c>
    </row>
    <row r="15" spans="1:9" x14ac:dyDescent="0.4">
      <c r="A15" s="1">
        <v>5.9999999999999902</v>
      </c>
      <c r="B15" s="1">
        <v>39.61</v>
      </c>
      <c r="C15" s="1">
        <f t="shared" si="0"/>
        <v>0.39610000000000001</v>
      </c>
      <c r="D15" s="1">
        <f t="shared" si="1"/>
        <v>-0.26345487474882495</v>
      </c>
    </row>
    <row r="16" spans="1:9" x14ac:dyDescent="0.4">
      <c r="A16" s="1">
        <v>5.9</v>
      </c>
      <c r="B16" s="1">
        <v>61.06</v>
      </c>
      <c r="C16" s="1">
        <f t="shared" si="0"/>
        <v>0.61060000000000003</v>
      </c>
      <c r="D16" s="1">
        <f t="shared" si="1"/>
        <v>0.28088318252889455</v>
      </c>
    </row>
    <row r="17" spans="1:4" x14ac:dyDescent="0.4">
      <c r="A17" s="1">
        <v>5.7</v>
      </c>
      <c r="B17" s="1">
        <v>63.05</v>
      </c>
      <c r="C17" s="1">
        <f>B17/100</f>
        <v>0.63049999999999995</v>
      </c>
      <c r="D17" s="1">
        <f t="shared" si="1"/>
        <v>0.33317789903059641</v>
      </c>
    </row>
    <row r="18" spans="1:4" x14ac:dyDescent="0.4">
      <c r="A18" s="1">
        <v>6.0999999999999899</v>
      </c>
      <c r="B18" s="1">
        <v>66.2</v>
      </c>
      <c r="C18" s="1">
        <f>B18/100</f>
        <v>0.66200000000000003</v>
      </c>
      <c r="D18" s="1">
        <f t="shared" si="1"/>
        <v>0.41792767166948208</v>
      </c>
    </row>
  </sheetData>
  <autoFilter ref="A1:B1" xr:uid="{8D013AED-58A8-4A54-8A5B-3387A99A5448}">
    <sortState xmlns:xlrd2="http://schemas.microsoft.com/office/spreadsheetml/2017/richdata2" ref="A2:C21">
      <sortCondition ref="B1"/>
    </sortState>
  </autoFilter>
  <mergeCells count="3">
    <mergeCell ref="B1:C1"/>
    <mergeCell ref="F1:G1"/>
    <mergeCell ref="H1:I1"/>
  </mergeCells>
  <phoneticPr fontId="18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8E19A-8539-4A33-A442-4F8E1A4DA0C7}">
  <dimension ref="A1:D27"/>
  <sheetViews>
    <sheetView zoomScale="70" zoomScaleNormal="70" workbookViewId="0">
      <selection activeCell="B2" sqref="B2:D2"/>
    </sheetView>
  </sheetViews>
  <sheetFormatPr defaultRowHeight="18.75" x14ac:dyDescent="0.4"/>
  <cols>
    <col min="2" max="3" width="13.375" bestFit="1" customWidth="1"/>
    <col min="4" max="4" width="15.125" bestFit="1" customWidth="1"/>
  </cols>
  <sheetData>
    <row r="1" spans="1:4" x14ac:dyDescent="0.4">
      <c r="A1" s="1" t="s">
        <v>1</v>
      </c>
      <c r="B1" s="1" t="s">
        <v>2</v>
      </c>
      <c r="C1" s="1" t="s">
        <v>3</v>
      </c>
      <c r="D1" s="1" t="s">
        <v>4</v>
      </c>
    </row>
    <row r="2" spans="1:4" x14ac:dyDescent="0.4">
      <c r="A2" s="1">
        <v>4.5</v>
      </c>
      <c r="B2" s="1">
        <f>_xlfn.NORM.S.DIST(((A2)-'1_全壊率'!$H$3)/'1_全壊率'!$I$3, TRUE)</f>
        <v>2.2456634883990286E-9</v>
      </c>
      <c r="C2" s="1">
        <f>_xlfn.NORM.S.DIST(((A2)-'2_全半壊率'!$H$3)/'2_全半壊率'!$I$3, TRUE)</f>
        <v>1.0534486149441905E-7</v>
      </c>
      <c r="D2" s="1">
        <f>_xlfn.NORM.S.DIST(((A2)-'3_一部損壊以上率'!$H$3)/'3_一部損壊以上率'!$I$3, TRUE)</f>
        <v>3.127605606289103E-4</v>
      </c>
    </row>
    <row r="3" spans="1:4" x14ac:dyDescent="0.4">
      <c r="A3" s="1">
        <v>4.5999999999999996</v>
      </c>
      <c r="B3" s="1">
        <f>_xlfn.NORM.S.DIST(((A3)-'1_全壊率'!$H$3)/'1_全壊率'!$I$3, TRUE)</f>
        <v>1.1888418904646958E-8</v>
      </c>
      <c r="C3" s="1">
        <f>_xlfn.NORM.S.DIST(((A3)-'2_全半壊率'!$H$3)/'2_全半壊率'!$I$3, TRUE)</f>
        <v>4.9047996353786249E-7</v>
      </c>
      <c r="D3" s="1">
        <f>_xlfn.NORM.S.DIST(((A3)-'3_一部損壊以上率'!$H$3)/'3_一部損壊以上率'!$I$3, TRUE)</f>
        <v>6.9519167848100831E-4</v>
      </c>
    </row>
    <row r="4" spans="1:4" x14ac:dyDescent="0.4">
      <c r="A4" s="1">
        <v>4.7</v>
      </c>
      <c r="B4" s="1">
        <f>_xlfn.NORM.S.DIST(((A4)-'1_全壊率'!$H$3)/'1_全壊率'!$I$3, TRUE)</f>
        <v>5.8219317162482769E-8</v>
      </c>
      <c r="C4" s="1">
        <f>_xlfn.NORM.S.DIST(((A4)-'2_全半壊率'!$H$3)/'2_全半壊率'!$I$3, TRUE)</f>
        <v>2.1004200602561815E-6</v>
      </c>
      <c r="D4" s="1">
        <f>_xlfn.NORM.S.DIST(((A4)-'3_一部損壊以上率'!$H$3)/'3_一部損壊以上率'!$I$3, TRUE)</f>
        <v>1.4746183399877173E-3</v>
      </c>
    </row>
    <row r="5" spans="1:4" x14ac:dyDescent="0.4">
      <c r="A5" s="1">
        <v>4.8</v>
      </c>
      <c r="B5" s="1">
        <f>_xlfn.NORM.S.DIST(((A5)-'1_全壊率'!$H$3)/'1_全壊率'!$I$3, TRUE)</f>
        <v>2.6379164214844288E-7</v>
      </c>
      <c r="C5" s="1">
        <f>_xlfn.NORM.S.DIST(((A5)-'2_全半壊率'!$H$3)/'2_全半壊率'!$I$3, TRUE)</f>
        <v>8.2756762980747147E-6</v>
      </c>
      <c r="D5" s="1">
        <f>_xlfn.NORM.S.DIST(((A5)-'3_一部損壊以上率'!$H$3)/'3_一部損壊以上率'!$I$3, TRUE)</f>
        <v>2.9859526423710657E-3</v>
      </c>
    </row>
    <row r="6" spans="1:4" x14ac:dyDescent="0.4">
      <c r="A6" s="1">
        <v>4.9000000000000004</v>
      </c>
      <c r="B6" s="1">
        <f>_xlfn.NORM.S.DIST(((A6)-'1_全壊率'!$H$3)/'1_全壊率'!$I$3, TRUE)</f>
        <v>1.1061274450518632E-6</v>
      </c>
      <c r="C6" s="1">
        <f>_xlfn.NORM.S.DIST(((A6)-'2_全半壊率'!$H$3)/'2_全半壊率'!$I$3, TRUE)</f>
        <v>3.001027555880948E-5</v>
      </c>
      <c r="D6" s="1">
        <f>_xlfn.NORM.S.DIST(((A6)-'3_一部損壊以上率'!$H$3)/'3_一部損壊以上率'!$I$3, TRUE)</f>
        <v>5.7740591414314722E-3</v>
      </c>
    </row>
    <row r="7" spans="1:4" x14ac:dyDescent="0.4">
      <c r="A7" s="1">
        <v>5</v>
      </c>
      <c r="B7" s="1">
        <f>_xlfn.NORM.S.DIST(((A7)-'1_全壊率'!$H$3)/'1_全壊率'!$I$3, TRUE)</f>
        <v>4.2935144699718411E-6</v>
      </c>
      <c r="C7" s="1">
        <f>_xlfn.NORM.S.DIST(((A7)-'2_全半壊率'!$H$3)/'2_全半壊率'!$I$3, TRUE)</f>
        <v>1.0020464618951186E-4</v>
      </c>
      <c r="D7" s="1">
        <f>_xlfn.NORM.S.DIST(((A7)-'3_一部損壊以上率'!$H$3)/'3_一部損壊以上率'!$I$3, TRUE)</f>
        <v>1.0667586088635057E-2</v>
      </c>
    </row>
    <row r="8" spans="1:4" x14ac:dyDescent="0.4">
      <c r="A8" s="1">
        <v>5.0999999999999996</v>
      </c>
      <c r="B8" s="1">
        <f>_xlfn.NORM.S.DIST(((A8)-'1_全壊率'!$H$3)/'1_全壊率'!$I$3, TRUE)</f>
        <v>1.5431724891373213E-5</v>
      </c>
      <c r="C8" s="1">
        <f>_xlfn.NORM.S.DIST(((A8)-'2_全半壊率'!$H$3)/'2_全半壊率'!$I$3, TRUE)</f>
        <v>3.0822670565836333E-4</v>
      </c>
      <c r="D8" s="1">
        <f>_xlfn.NORM.S.DIST(((A8)-'3_一部損壊以上率'!$H$3)/'3_一部損壊以上率'!$I$3, TRUE)</f>
        <v>1.8839027367663987E-2</v>
      </c>
    </row>
    <row r="9" spans="1:4" x14ac:dyDescent="0.4">
      <c r="A9" s="1">
        <v>5.2</v>
      </c>
      <c r="B9" s="1">
        <f>_xlfn.NORM.S.DIST(((A9)-'1_全壊率'!$H$3)/'1_全壊率'!$I$3, TRUE)</f>
        <v>5.1375953548590587E-5</v>
      </c>
      <c r="C9" s="1">
        <f>_xlfn.NORM.S.DIST(((A9)-'2_全半壊率'!$H$3)/'2_全半壊率'!$I$3, TRUE)</f>
        <v>8.7391250847860201E-4</v>
      </c>
      <c r="D9" s="1">
        <f>_xlfn.NORM.S.DIST(((A9)-'3_一部損壊以上率'!$H$3)/'3_一部損壊以上率'!$I$3, TRUE)</f>
        <v>3.1820968216576109E-2</v>
      </c>
    </row>
    <row r="10" spans="1:4" x14ac:dyDescent="0.4">
      <c r="A10" s="1">
        <v>5.3</v>
      </c>
      <c r="B10" s="1">
        <f>_xlfn.NORM.S.DIST(((A10)-'1_全壊率'!$H$3)/'1_全壊率'!$I$3, TRUE)</f>
        <v>1.5849778843208225E-4</v>
      </c>
      <c r="C10" s="1">
        <f>_xlfn.NORM.S.DIST(((A10)-'2_全半壊率'!$H$3)/'2_全半壊率'!$I$3, TRUE)</f>
        <v>2.2854815151071213E-3</v>
      </c>
      <c r="D10" s="1">
        <f>_xlfn.NORM.S.DIST(((A10)-'3_一部損壊以上率'!$H$3)/'3_一部損壊以上率'!$I$3, TRUE)</f>
        <v>5.1443049736089354E-2</v>
      </c>
    </row>
    <row r="11" spans="1:4" x14ac:dyDescent="0.4">
      <c r="A11" s="1">
        <v>5.4</v>
      </c>
      <c r="B11" s="1">
        <f>_xlfn.NORM.S.DIST(((A11)-'1_全壊率'!$H$3)/'1_全壊率'!$I$3, TRUE)</f>
        <v>4.5332242229965443E-4</v>
      </c>
      <c r="C11" s="1">
        <f>_xlfn.NORM.S.DIST(((A11)-'2_全半壊率'!$H$3)/'2_全半壊率'!$I$3, TRUE)</f>
        <v>5.5176344550723171E-3</v>
      </c>
      <c r="D11" s="1">
        <f>_xlfn.NORM.S.DIST(((A11)-'3_一部損壊以上率'!$H$3)/'3_一部損壊以上率'!$I$3, TRUE)</f>
        <v>7.9660332982883317E-2</v>
      </c>
    </row>
    <row r="12" spans="1:4" x14ac:dyDescent="0.4">
      <c r="A12" s="1">
        <v>5.5</v>
      </c>
      <c r="B12" s="1">
        <f>_xlfn.NORM.S.DIST(((A12)-'1_全壊率'!$H$3)/'1_全壊率'!$I$3, TRUE)</f>
        <v>1.202678434591962E-3</v>
      </c>
      <c r="C12" s="1">
        <f>_xlfn.NORM.S.DIST(((A12)-'2_全半壊率'!$H$3)/'2_全半壊率'!$I$3, TRUE)</f>
        <v>1.2308833885808069E-2</v>
      </c>
      <c r="D12" s="1">
        <f>_xlfn.NORM.S.DIST(((A12)-'3_一部損壊以上率'!$H$3)/'3_一部損壊以上率'!$I$3, TRUE)</f>
        <v>0.11826591948905259</v>
      </c>
    </row>
    <row r="13" spans="1:4" x14ac:dyDescent="0.4">
      <c r="A13" s="1">
        <v>5.6</v>
      </c>
      <c r="B13" s="1">
        <f>_xlfn.NORM.S.DIST(((A13)-'1_全壊率'!$H$3)/'1_全壊率'!$I$3, TRUE)</f>
        <v>2.9616260451524657E-3</v>
      </c>
      <c r="C13" s="1">
        <f>_xlfn.NORM.S.DIST(((A13)-'2_全半壊率'!$H$3)/'2_全半壊率'!$I$3, TRUE)</f>
        <v>2.540268880940498E-2</v>
      </c>
      <c r="D13" s="1">
        <f>_xlfn.NORM.S.DIST(((A13)-'3_一部損壊以上率'!$H$3)/'3_一部損壊以上率'!$I$3, TRUE)</f>
        <v>0.16851754188645707</v>
      </c>
    </row>
    <row r="14" spans="1:4" x14ac:dyDescent="0.4">
      <c r="A14" s="1">
        <v>5.7</v>
      </c>
      <c r="B14" s="1">
        <f>_xlfn.NORM.S.DIST(((A14)-'1_全壊率'!$H$3)/'1_全壊率'!$I$3, TRUE)</f>
        <v>6.7745609232903519E-3</v>
      </c>
      <c r="C14" s="1">
        <f>_xlfn.NORM.S.DIST(((A14)-'2_全半壊率'!$H$3)/'2_全半壊率'!$I$3, TRUE)</f>
        <v>4.8568980039872173E-2</v>
      </c>
      <c r="D14" s="1">
        <f>_xlfn.NORM.S.DIST(((A14)-'3_一部損壊以上率'!$H$3)/'3_一部損壊以上率'!$I$3, TRUE)</f>
        <v>0.2307497363046567</v>
      </c>
    </row>
    <row r="15" spans="1:4" x14ac:dyDescent="0.4">
      <c r="A15" s="1">
        <v>5.8</v>
      </c>
      <c r="B15" s="1">
        <f>_xlfn.NORM.S.DIST(((A15)-'1_全壊率'!$H$3)/'1_全壊率'!$I$3, TRUE)</f>
        <v>1.4407802664058153E-2</v>
      </c>
      <c r="C15" s="1">
        <f>_xlfn.NORM.S.DIST(((A15)-'2_全半壊率'!$H$3)/'2_全半壊率'!$I$3, TRUE)</f>
        <v>8.6179968595334111E-2</v>
      </c>
      <c r="D15" s="1">
        <f>_xlfn.NORM.S.DIST(((A15)-'3_一部損壊以上率'!$H$3)/'3_一部損壊以上率'!$I$3, TRUE)</f>
        <v>0.30407359871377215</v>
      </c>
    </row>
    <row r="16" spans="1:4" x14ac:dyDescent="0.4">
      <c r="A16" s="1">
        <v>5.9</v>
      </c>
      <c r="B16" s="1">
        <f>_xlfn.NORM.S.DIST(((A16)-'1_全壊率'!$H$3)/'1_全壊率'!$I$3, TRUE)</f>
        <v>2.852027261649371E-2</v>
      </c>
      <c r="C16" s="1">
        <f>_xlfn.NORM.S.DIST(((A16)-'2_全半壊率'!$H$3)/'2_全半壊率'!$I$3, TRUE)</f>
        <v>0.14221290084660057</v>
      </c>
      <c r="D16" s="1">
        <f>_xlfn.NORM.S.DIST(((A16)-'3_一部損壊以上率'!$H$3)/'3_一部損壊以上率'!$I$3, TRUE)</f>
        <v>0.38626773145756943</v>
      </c>
    </row>
    <row r="17" spans="1:4" x14ac:dyDescent="0.4">
      <c r="A17" s="1">
        <v>5.9999999999999902</v>
      </c>
      <c r="B17" s="1">
        <f>_xlfn.NORM.S.DIST(((A17)-'1_全壊率'!$H$3)/'1_全壊率'!$I$3, TRUE)</f>
        <v>5.261613845424893E-2</v>
      </c>
      <c r="C17" s="1">
        <f>_xlfn.NORM.S.DIST(((A17)-'2_全半壊率'!$H$3)/'2_全半壊率'!$I$3, TRUE)</f>
        <v>0.21881545304835751</v>
      </c>
      <c r="D17" s="1">
        <f>_xlfn.NORM.S.DIST(((A17)-'3_一部損壊以上率'!$H$3)/'3_一部損壊以上率'!$I$3, TRUE)</f>
        <v>0.47392776204071702</v>
      </c>
    </row>
    <row r="18" spans="1:4" x14ac:dyDescent="0.4">
      <c r="A18" s="1">
        <v>6.0999999999999899</v>
      </c>
      <c r="B18" s="1">
        <f>_xlfn.NORM.S.DIST(((A18)-'1_全壊率'!$H$3)/'1_全壊率'!$I$3, TRUE)</f>
        <v>9.0611318418199818E-2</v>
      </c>
      <c r="C18" s="1">
        <f>_xlfn.NORM.S.DIST(((A18)-'2_全半壊率'!$H$3)/'2_全半壊率'!$I$3, TRUE)</f>
        <v>0.3149136289320959</v>
      </c>
      <c r="D18" s="1">
        <f>_xlfn.NORM.S.DIST(((A18)-'3_一部損壊以上率'!$H$3)/'3_一部損壊以上率'!$I$3, TRUE)</f>
        <v>0.56287403688126347</v>
      </c>
    </row>
    <row r="19" spans="1:4" x14ac:dyDescent="0.4">
      <c r="A19" s="1">
        <v>6.1999999999999904</v>
      </c>
      <c r="B19" s="1">
        <f>_xlfn.NORM.S.DIST(((A19)-'1_全壊率'!$H$3)/'1_全壊率'!$I$3, TRUE)</f>
        <v>0.14594145856691565</v>
      </c>
      <c r="C19" s="1">
        <f>_xlfn.NORM.S.DIST(((A19)-'2_全半壊率'!$H$3)/'2_全半壊率'!$I$3, TRUE)</f>
        <v>0.42554023614613357</v>
      </c>
      <c r="D19" s="1">
        <f>_xlfn.NORM.S.DIST(((A19)-'3_一部損壊以上率'!$H$3)/'3_一部損壊以上率'!$I$3, TRUE)</f>
        <v>0.64873964753603008</v>
      </c>
    </row>
    <row r="20" spans="1:4" x14ac:dyDescent="0.4">
      <c r="A20" s="1">
        <v>6.2999999999999901</v>
      </c>
      <c r="B20" s="1">
        <f>_xlfn.NORM.S.DIST(((A20)-'1_全壊率'!$H$3)/'1_全壊率'!$I$3, TRUE)</f>
        <v>0.22035346579672876</v>
      </c>
      <c r="C20" s="1">
        <f>_xlfn.NORM.S.DIST(((A20)-'2_全半壊率'!$H$3)/'2_全半壊率'!$I$3, TRUE)</f>
        <v>0.54240320543070875</v>
      </c>
      <c r="D20" s="1">
        <f>_xlfn.NORM.S.DIST(((A20)-'3_一部損壊以上率'!$H$3)/'3_一部損壊以上率'!$I$3, TRUE)</f>
        <v>0.72760315675558729</v>
      </c>
    </row>
    <row r="21" spans="1:4" x14ac:dyDescent="0.4">
      <c r="A21" s="1">
        <v>6.3999999999999897</v>
      </c>
      <c r="B21" s="1">
        <f>_xlfn.NORM.S.DIST(((A21)-'1_全壊率'!$H$3)/'1_全壊率'!$I$3, TRUE)</f>
        <v>0.31277492053569683</v>
      </c>
      <c r="C21" s="1">
        <f>_xlfn.NORM.S.DIST(((A21)-'2_全半壊率'!$H$3)/'2_全半壊率'!$I$3, TRUE)</f>
        <v>0.65568685790984427</v>
      </c>
      <c r="D21" s="1">
        <f>_xlfn.NORM.S.DIST(((A21)-'3_一部損壊以上率'!$H$3)/'3_一部損壊以上率'!$I$3, TRUE)</f>
        <v>0.79651569260900779</v>
      </c>
    </row>
    <row r="22" spans="1:4" x14ac:dyDescent="0.4">
      <c r="A22" s="1">
        <v>6.4999999999999902</v>
      </c>
      <c r="B22" s="1">
        <f>_xlfn.NORM.S.DIST(((A22)-'1_全壊率'!$H$3)/'1_全壊率'!$I$3, TRUE)</f>
        <v>0.41878606251254047</v>
      </c>
      <c r="C22" s="1">
        <f>_xlfn.NORM.S.DIST(((A22)-'2_全半壊率'!$H$3)/'2_全半壊率'!$I$3, TRUE)</f>
        <v>0.75645668170693092</v>
      </c>
      <c r="D22" s="1">
        <f>_xlfn.NORM.S.DIST(((A22)-'3_一部損壊以上率'!$H$3)/'3_一部損壊以上率'!$I$3, TRUE)</f>
        <v>0.85380658694209011</v>
      </c>
    </row>
    <row r="23" spans="1:4" x14ac:dyDescent="0.4">
      <c r="A23" s="1">
        <v>6.5999999999999899</v>
      </c>
      <c r="B23" s="1">
        <f>_xlfn.NORM.S.DIST(((A23)-'1_全壊率'!$H$3)/'1_全壊率'!$I$3, TRUE)</f>
        <v>0.53108597350301268</v>
      </c>
      <c r="C23" s="1">
        <f>_xlfn.NORM.S.DIST(((A23)-'2_全半壊率'!$H$3)/'2_全半壊率'!$I$3, TRUE)</f>
        <v>0.83871245905947867</v>
      </c>
      <c r="D23" s="1">
        <f>_xlfn.NORM.S.DIST(((A23)-'3_一部損壊以上率'!$H$3)/'3_一部損壊以上率'!$I$3, TRUE)</f>
        <v>0.89912118434425892</v>
      </c>
    </row>
    <row r="24" spans="1:4" x14ac:dyDescent="0.4">
      <c r="A24" s="1">
        <v>6.6999999999999904</v>
      </c>
      <c r="B24" s="1">
        <f>_xlfn.NORM.S.DIST(((A24)-'1_全壊率'!$H$3)/'1_全壊率'!$I$3, TRUE)</f>
        <v>0.64095027646521885</v>
      </c>
      <c r="C24" s="1">
        <f>_xlfn.NORM.S.DIST(((A24)-'2_全半壊率'!$H$3)/'2_全半壊率'!$I$3, TRUE)</f>
        <v>0.90032576387272134</v>
      </c>
      <c r="D24" s="1">
        <f>_xlfn.NORM.S.DIST(((A24)-'3_一部損壊以上率'!$H$3)/'3_一部損壊以上率'!$I$3, TRUE)</f>
        <v>0.93322128790098446</v>
      </c>
    </row>
    <row r="25" spans="1:4" x14ac:dyDescent="0.4">
      <c r="A25" s="1">
        <v>6.7999999999999901</v>
      </c>
      <c r="B25" s="1">
        <f>_xlfn.NORM.S.DIST(((A25)-'1_全壊率'!$H$3)/'1_全壊率'!$I$3, TRUE)</f>
        <v>0.74021228300331121</v>
      </c>
      <c r="C25" s="1">
        <f>_xlfn.NORM.S.DIST(((A25)-'2_全半壊率'!$H$3)/'2_全半壊率'!$I$3, TRUE)</f>
        <v>0.9426758312390926</v>
      </c>
      <c r="D25" s="1">
        <f>_xlfn.NORM.S.DIST(((A25)-'3_一部損壊以上率'!$H$3)/'3_一部損壊以上率'!$I$3, TRUE)</f>
        <v>0.95763524572601832</v>
      </c>
    </row>
    <row r="26" spans="1:4" x14ac:dyDescent="0.4">
      <c r="A26" s="1">
        <v>6.8999999999999897</v>
      </c>
      <c r="B26" s="1">
        <f>_xlfn.NORM.S.DIST(((A26)-'1_全壊率'!$H$3)/'1_全壊率'!$I$3, TRUE)</f>
        <v>0.82303673285857482</v>
      </c>
      <c r="C26" s="1">
        <f>_xlfn.NORM.S.DIST(((A26)-'2_全半壊率'!$H$3)/'2_全半壊率'!$I$3, TRUE)</f>
        <v>0.96938770453277423</v>
      </c>
      <c r="D26" s="1">
        <f>_xlfn.NORM.S.DIST(((A26)-'3_一部損壊以上率'!$H$3)/'3_一部損壊以上率'!$I$3, TRUE)</f>
        <v>0.97426498545966034</v>
      </c>
    </row>
    <row r="27" spans="1:4" x14ac:dyDescent="0.4">
      <c r="A27" s="1">
        <v>6.9999999999999902</v>
      </c>
      <c r="B27" s="1">
        <f>_xlfn.NORM.S.DIST(((A27)-'1_全壊率'!$H$3)/'1_全壊率'!$I$3, TRUE)</f>
        <v>0.88686055355601723</v>
      </c>
      <c r="C27" s="1">
        <f>_xlfn.NORM.S.DIST(((A27)-'2_全半壊率'!$H$3)/'2_全半壊率'!$I$3, TRUE)</f>
        <v>0.98484822689333351</v>
      </c>
      <c r="D27" s="1">
        <f>_xlfn.NORM.S.DIST(((A27)-'3_一部損壊以上率'!$H$3)/'3_一部損壊以上率'!$I$3, TRUE)</f>
        <v>0.98504197131713178</v>
      </c>
    </row>
  </sheetData>
  <phoneticPr fontId="18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E9B1-8FD8-4289-879C-E7D9E752378A}">
  <dimension ref="A2:I75"/>
  <sheetViews>
    <sheetView tabSelected="1" zoomScale="85" zoomScaleNormal="85" workbookViewId="0">
      <selection activeCell="O18" sqref="O18"/>
    </sheetView>
  </sheetViews>
  <sheetFormatPr defaultRowHeight="18.75" x14ac:dyDescent="0.4"/>
  <cols>
    <col min="5" max="5" width="13.375" bestFit="1" customWidth="1"/>
    <col min="6" max="6" width="16.375" customWidth="1"/>
    <col min="7" max="7" width="13.375" bestFit="1" customWidth="1"/>
    <col min="9" max="9" width="13.375" bestFit="1" customWidth="1"/>
  </cols>
  <sheetData>
    <row r="2" spans="1:9" x14ac:dyDescent="0.4">
      <c r="A2" s="1" t="s">
        <v>11</v>
      </c>
      <c r="B2" s="1" t="s">
        <v>12</v>
      </c>
      <c r="C2" s="1" t="s">
        <v>13</v>
      </c>
      <c r="D2" s="1" t="s">
        <v>14</v>
      </c>
    </row>
    <row r="3" spans="1:9" x14ac:dyDescent="0.4">
      <c r="A3" s="1" t="s">
        <v>15</v>
      </c>
      <c r="B3" s="9">
        <v>1</v>
      </c>
      <c r="C3" s="9">
        <v>0.9</v>
      </c>
      <c r="D3" s="9">
        <v>0.05</v>
      </c>
    </row>
    <row r="5" spans="1:9" x14ac:dyDescent="0.4">
      <c r="A5" s="1" t="s">
        <v>1</v>
      </c>
      <c r="B5" s="1" t="s">
        <v>2</v>
      </c>
      <c r="C5" s="1" t="s">
        <v>3</v>
      </c>
      <c r="D5" s="1" t="s">
        <v>4</v>
      </c>
      <c r="E5" s="1" t="s">
        <v>2</v>
      </c>
      <c r="F5" s="1" t="s">
        <v>16</v>
      </c>
      <c r="G5" s="1" t="s">
        <v>17</v>
      </c>
      <c r="H5" s="10" t="s">
        <v>18</v>
      </c>
      <c r="I5" s="11" t="s">
        <v>15</v>
      </c>
    </row>
    <row r="6" spans="1:9" x14ac:dyDescent="0.4">
      <c r="A6" s="1">
        <v>0.1</v>
      </c>
      <c r="B6" s="1">
        <f>_xlfn.NORM.S.DIST(((A6)-'1_全壊率'!$H$3)/'1_全壊率'!$I$3, TRUE)</f>
        <v>3.0280254029453727E-75</v>
      </c>
      <c r="C6" s="1">
        <f>_xlfn.NORM.S.DIST(((A6)-'2_全半壊率'!$H$3)/'2_全半壊率'!$I$3, TRUE)</f>
        <v>8.3176333421239057E-74</v>
      </c>
      <c r="D6" s="1">
        <f>_xlfn.NORM.S.DIST(((A6)-'3_一部損壊以上率'!$H$3)/'3_一部損壊以上率'!$I$3, TRUE)</f>
        <v>1.9395098118369997E-40</v>
      </c>
      <c r="E6" s="1">
        <f>B6</f>
        <v>3.0280254029453727E-75</v>
      </c>
      <c r="F6" s="1">
        <f>C6-B6</f>
        <v>8.0148308018293679E-74</v>
      </c>
      <c r="G6" s="1">
        <f t="shared" ref="G6:G69" si="0">D6-C6</f>
        <v>1.9395098118369997E-40</v>
      </c>
      <c r="H6" s="1">
        <f t="shared" ref="H6:H69" si="1">1-D6</f>
        <v>1</v>
      </c>
      <c r="I6" s="1">
        <f>E6*$B$3+F6*$C$3+G6*$D$3+H6*0</f>
        <v>9.6975490591849992E-42</v>
      </c>
    </row>
    <row r="7" spans="1:9" x14ac:dyDescent="0.4">
      <c r="A7" s="1">
        <v>0.2</v>
      </c>
      <c r="B7" s="1">
        <f>_xlfn.NORM.S.DIST(((A7)-'1_全壊率'!$H$3)/'1_全壊率'!$I$3, TRUE)</f>
        <v>5.2692333753703851E-73</v>
      </c>
      <c r="C7" s="1">
        <f>_xlfn.NORM.S.DIST(((A7)-'2_全半壊率'!$H$3)/'2_全半壊率'!$I$3, TRUE)</f>
        <v>1.6814922583986247E-71</v>
      </c>
      <c r="D7" s="1">
        <f>_xlfn.NORM.S.DIST(((A7)-'3_一部損壊以上率'!$H$3)/'3_一部損壊以上率'!$I$3, TRUE)</f>
        <v>3.7347753979490822E-39</v>
      </c>
      <c r="E7" s="1">
        <f t="shared" ref="E7:E70" si="2">B7</f>
        <v>5.2692333753703851E-73</v>
      </c>
      <c r="F7" s="1">
        <f t="shared" ref="F7:F70" si="3">C7-B7</f>
        <v>1.628799924644921E-71</v>
      </c>
      <c r="G7" s="1">
        <f t="shared" si="0"/>
        <v>3.7347753979490822E-39</v>
      </c>
      <c r="H7" s="1">
        <f t="shared" si="1"/>
        <v>1</v>
      </c>
      <c r="I7" s="1">
        <f t="shared" ref="I7:I70" si="4">E7*$B$3+F7*$C$3+G7*$D$3+H7*0</f>
        <v>1.867387698974541E-40</v>
      </c>
    </row>
    <row r="8" spans="1:9" x14ac:dyDescent="0.4">
      <c r="A8" s="1">
        <v>0.3</v>
      </c>
      <c r="B8" s="1">
        <f>_xlfn.NORM.S.DIST(((A8)-'1_全壊率'!$H$3)/'1_全壊率'!$I$3, TRUE)</f>
        <v>8.4656084833159871E-71</v>
      </c>
      <c r="C8" s="1">
        <f>_xlfn.NORM.S.DIST(((A8)-'2_全半壊率'!$H$3)/'2_全半壊率'!$I$3, TRUE)</f>
        <v>3.1182325078516186E-69</v>
      </c>
      <c r="D8" s="1">
        <f>_xlfn.NORM.S.DIST(((A8)-'3_一部損壊以上率'!$H$3)/'3_一部損壊以上率'!$I$3, TRUE)</f>
        <v>6.8428254493681918E-38</v>
      </c>
      <c r="E8" s="1">
        <f t="shared" si="2"/>
        <v>8.4656084833159871E-71</v>
      </c>
      <c r="F8" s="1">
        <f t="shared" si="3"/>
        <v>3.0335764230184588E-69</v>
      </c>
      <c r="G8" s="1">
        <f t="shared" si="0"/>
        <v>6.8428254493681918E-38</v>
      </c>
      <c r="H8" s="1">
        <f t="shared" si="1"/>
        <v>1</v>
      </c>
      <c r="I8" s="1">
        <f t="shared" si="4"/>
        <v>3.4214127246840959E-39</v>
      </c>
    </row>
    <row r="9" spans="1:9" x14ac:dyDescent="0.4">
      <c r="A9" s="1">
        <v>0.4</v>
      </c>
      <c r="B9" s="1">
        <f>_xlfn.NORM.S.DIST(((A9)-'1_全壊率'!$H$3)/'1_全壊率'!$I$3, TRUE)</f>
        <v>1.2557265147356296E-68</v>
      </c>
      <c r="C9" s="1">
        <f>_xlfn.NORM.S.DIST(((A9)-'2_全半壊率'!$H$3)/'2_全半壊率'!$I$3, TRUE)</f>
        <v>5.304500414444783E-67</v>
      </c>
      <c r="D9" s="1">
        <f>_xlfn.NORM.S.DIST(((A9)-'3_一部損壊以上率'!$H$3)/'3_一部損壊以上率'!$I$3, TRUE)</f>
        <v>1.1929139012312293E-36</v>
      </c>
      <c r="E9" s="1">
        <f t="shared" si="2"/>
        <v>1.2557265147356296E-68</v>
      </c>
      <c r="F9" s="1">
        <f t="shared" si="3"/>
        <v>5.1789277629712203E-67</v>
      </c>
      <c r="G9" s="1">
        <f t="shared" si="0"/>
        <v>1.1929139012312293E-36</v>
      </c>
      <c r="H9" s="1">
        <f t="shared" si="1"/>
        <v>1</v>
      </c>
      <c r="I9" s="1">
        <f t="shared" si="4"/>
        <v>5.9645695061561469E-38</v>
      </c>
    </row>
    <row r="10" spans="1:9" x14ac:dyDescent="0.4">
      <c r="A10" s="1">
        <v>0.5</v>
      </c>
      <c r="B10" s="1">
        <f>_xlfn.NORM.S.DIST(((A10)-'1_全壊率'!$H$3)/'1_全壊率'!$I$3, TRUE)</f>
        <v>1.7197351250613524E-66</v>
      </c>
      <c r="C10" s="1">
        <f>_xlfn.NORM.S.DIST(((A10)-'2_全半壊率'!$H$3)/'2_全半壊率'!$I$3, TRUE)</f>
        <v>8.2776468141669895E-65</v>
      </c>
      <c r="D10" s="1">
        <f>_xlfn.NORM.S.DIST(((A10)-'3_一部損壊以上率'!$H$3)/'3_一部損壊以上率'!$I$3, TRUE)</f>
        <v>1.9787449446290632E-35</v>
      </c>
      <c r="E10" s="1">
        <f t="shared" si="2"/>
        <v>1.7197351250613524E-66</v>
      </c>
      <c r="F10" s="1">
        <f t="shared" si="3"/>
        <v>8.105673301660855E-65</v>
      </c>
      <c r="G10" s="1">
        <f t="shared" si="0"/>
        <v>1.9787449446290632E-35</v>
      </c>
      <c r="H10" s="1">
        <f t="shared" si="1"/>
        <v>1</v>
      </c>
      <c r="I10" s="1">
        <f t="shared" si="4"/>
        <v>9.8937247231453172E-37</v>
      </c>
    </row>
    <row r="11" spans="1:9" x14ac:dyDescent="0.4">
      <c r="A11" s="1">
        <v>0.6</v>
      </c>
      <c r="B11" s="1">
        <f>_xlfn.NORM.S.DIST(((A11)-'1_全壊率'!$H$3)/'1_全壊率'!$I$3, TRUE)</f>
        <v>2.1745095124460168E-64</v>
      </c>
      <c r="C11" s="1">
        <f>_xlfn.NORM.S.DIST(((A11)-'2_全半壊率'!$H$3)/'2_全半壊率'!$I$3, TRUE)</f>
        <v>1.1849498122014186E-62</v>
      </c>
      <c r="D11" s="1">
        <f>_xlfn.NORM.S.DIST(((A11)-'3_一部損壊以上率'!$H$3)/'3_一部損壊以上率'!$I$3, TRUE)</f>
        <v>3.1230739274251135E-34</v>
      </c>
      <c r="E11" s="1">
        <f t="shared" si="2"/>
        <v>2.1745095124460168E-64</v>
      </c>
      <c r="F11" s="1">
        <f t="shared" si="3"/>
        <v>1.1632047170769584E-62</v>
      </c>
      <c r="G11" s="1">
        <f t="shared" si="0"/>
        <v>3.1230739274251135E-34</v>
      </c>
      <c r="H11" s="1">
        <f t="shared" si="1"/>
        <v>1</v>
      </c>
      <c r="I11" s="1">
        <f t="shared" si="4"/>
        <v>1.5615369637125568E-35</v>
      </c>
    </row>
    <row r="12" spans="1:9" x14ac:dyDescent="0.4">
      <c r="A12" s="1">
        <v>0.7</v>
      </c>
      <c r="B12" s="1">
        <f>_xlfn.NORM.S.DIST(((A12)-'1_全壊率'!$H$3)/'1_全壊率'!$I$3, TRUE)</f>
        <v>2.5386225612291E-62</v>
      </c>
      <c r="C12" s="1">
        <f>_xlfn.NORM.S.DIST(((A12)-'2_全半壊率'!$H$3)/'2_全半壊率'!$I$3, TRUE)</f>
        <v>1.5560664862844433E-60</v>
      </c>
      <c r="D12" s="1">
        <f>_xlfn.NORM.S.DIST(((A12)-'3_一部損壊以上率'!$H$3)/'3_一部損壊以上率'!$I$3, TRUE)</f>
        <v>4.6901996652061699E-33</v>
      </c>
      <c r="E12" s="1">
        <f t="shared" si="2"/>
        <v>2.5386225612291E-62</v>
      </c>
      <c r="F12" s="1">
        <f t="shared" si="3"/>
        <v>1.5306802606721521E-60</v>
      </c>
      <c r="G12" s="1">
        <f t="shared" si="0"/>
        <v>4.6901996652061699E-33</v>
      </c>
      <c r="H12" s="1">
        <f t="shared" si="1"/>
        <v>1</v>
      </c>
      <c r="I12" s="1">
        <f t="shared" si="4"/>
        <v>2.3450998326030849E-34</v>
      </c>
    </row>
    <row r="13" spans="1:9" x14ac:dyDescent="0.4">
      <c r="A13" s="1">
        <v>0.8</v>
      </c>
      <c r="B13" s="1">
        <f>_xlfn.NORM.S.DIST(((A13)-'1_全壊率'!$H$3)/'1_全壊率'!$I$3, TRUE)</f>
        <v>2.7363777109086212E-60</v>
      </c>
      <c r="C13" s="1">
        <f>_xlfn.NORM.S.DIST(((A13)-'2_全半壊率'!$H$3)/'2_全半壊率'!$I$3, TRUE)</f>
        <v>1.8745463170212358E-58</v>
      </c>
      <c r="D13" s="1">
        <f>_xlfn.NORM.S.DIST(((A13)-'3_一部損壊以上率'!$H$3)/'3_一部損壊以上率'!$I$3, TRUE)</f>
        <v>6.7022739414582699E-32</v>
      </c>
      <c r="E13" s="1">
        <f t="shared" si="2"/>
        <v>2.7363777109086212E-60</v>
      </c>
      <c r="F13" s="1">
        <f t="shared" si="3"/>
        <v>1.8471825399121497E-58</v>
      </c>
      <c r="G13" s="1">
        <f t="shared" si="0"/>
        <v>6.7022739414582699E-32</v>
      </c>
      <c r="H13" s="1">
        <f t="shared" si="1"/>
        <v>1</v>
      </c>
      <c r="I13" s="1">
        <f t="shared" si="4"/>
        <v>3.3511369707291351E-33</v>
      </c>
    </row>
    <row r="14" spans="1:9" x14ac:dyDescent="0.4">
      <c r="A14" s="1">
        <v>0.9</v>
      </c>
      <c r="B14" s="1">
        <f>_xlfn.NORM.S.DIST(((A14)-'1_全壊率'!$H$3)/'1_全壊率'!$I$3, TRUE)</f>
        <v>2.7233236313655668E-58</v>
      </c>
      <c r="C14" s="1">
        <f>_xlfn.NORM.S.DIST(((A14)-'2_全半壊率'!$H$3)/'2_全半壊率'!$I$3, TRUE)</f>
        <v>2.0716147468834174E-56</v>
      </c>
      <c r="D14" s="1">
        <f>_xlfn.NORM.S.DIST(((A14)-'3_一部損壊以上率'!$H$3)/'3_一部損壊以上率'!$I$3, TRUE)</f>
        <v>9.1133958397631854E-31</v>
      </c>
      <c r="E14" s="1">
        <f t="shared" si="2"/>
        <v>2.7233236313655668E-58</v>
      </c>
      <c r="F14" s="1">
        <f t="shared" si="3"/>
        <v>2.0443815105697618E-56</v>
      </c>
      <c r="G14" s="1">
        <f t="shared" si="0"/>
        <v>9.1133958397631854E-31</v>
      </c>
      <c r="H14" s="1">
        <f t="shared" si="1"/>
        <v>1</v>
      </c>
      <c r="I14" s="1">
        <f t="shared" si="4"/>
        <v>4.5566979198815927E-32</v>
      </c>
    </row>
    <row r="15" spans="1:9" x14ac:dyDescent="0.4">
      <c r="A15" s="1">
        <v>1</v>
      </c>
      <c r="B15" s="1">
        <f>_xlfn.NORM.S.DIST(((A15)-'1_全壊率'!$H$3)/'1_全壊率'!$I$3, TRUE)</f>
        <v>2.5024891385242068E-56</v>
      </c>
      <c r="C15" s="1">
        <f>_xlfn.NORM.S.DIST(((A15)-'2_全半壊率'!$H$3)/'2_全半壊率'!$I$3, TRUE)</f>
        <v>2.1002540643973544E-54</v>
      </c>
      <c r="D15" s="1">
        <f>_xlfn.NORM.S.DIST(((A15)-'3_一部損壊以上率'!$H$3)/'3_一部損壊以上率'!$I$3, TRUE)</f>
        <v>1.179155966285871E-29</v>
      </c>
      <c r="E15" s="1">
        <f t="shared" si="2"/>
        <v>2.5024891385242068E-56</v>
      </c>
      <c r="F15" s="1">
        <f t="shared" si="3"/>
        <v>2.0752291730121122E-54</v>
      </c>
      <c r="G15" s="1">
        <f t="shared" si="0"/>
        <v>1.179155966285871E-29</v>
      </c>
      <c r="H15" s="1">
        <f t="shared" si="1"/>
        <v>1</v>
      </c>
      <c r="I15" s="1">
        <f t="shared" si="4"/>
        <v>5.895779831429355E-31</v>
      </c>
    </row>
    <row r="16" spans="1:9" x14ac:dyDescent="0.4">
      <c r="A16" s="1">
        <v>1.1000000000000001</v>
      </c>
      <c r="B16" s="1">
        <f>_xlfn.NORM.S.DIST(((A16)-'1_全壊率'!$H$3)/'1_全壊率'!$I$3, TRUE)</f>
        <v>2.1232422728837163E-54</v>
      </c>
      <c r="C16" s="1">
        <f>_xlfn.NORM.S.DIST(((A16)-'2_全半壊率'!$H$3)/'2_全半壊率'!$I$3, TRUE)</f>
        <v>1.9533956515469308E-52</v>
      </c>
      <c r="D16" s="1">
        <f>_xlfn.NORM.S.DIST(((A16)-'3_一部損壊以上率'!$H$3)/'3_一部損壊以上率'!$I$3, TRUE)</f>
        <v>1.4517816395138311E-28</v>
      </c>
      <c r="E16" s="1">
        <f t="shared" si="2"/>
        <v>2.1232422728837163E-54</v>
      </c>
      <c r="F16" s="1">
        <f t="shared" si="3"/>
        <v>1.9321632288180935E-52</v>
      </c>
      <c r="G16" s="1">
        <f t="shared" si="0"/>
        <v>1.4517816395138311E-28</v>
      </c>
      <c r="H16" s="1">
        <f t="shared" si="1"/>
        <v>1</v>
      </c>
      <c r="I16" s="1">
        <f t="shared" si="4"/>
        <v>7.2589081975691561E-30</v>
      </c>
    </row>
    <row r="17" spans="1:9" x14ac:dyDescent="0.4">
      <c r="A17" s="1">
        <v>1.2</v>
      </c>
      <c r="B17" s="1">
        <f>_xlfn.NORM.S.DIST(((A17)-'1_全壊率'!$H$3)/'1_全壊率'!$I$3, TRUE)</f>
        <v>1.6633598953400178E-52</v>
      </c>
      <c r="C17" s="1">
        <f>_xlfn.NORM.S.DIST(((A17)-'2_全半壊率'!$H$3)/'2_全半壊率'!$I$3, TRUE)</f>
        <v>1.666748131134738E-50</v>
      </c>
      <c r="D17" s="1">
        <f>_xlfn.NORM.S.DIST(((A17)-'3_一部損壊以上率'!$H$3)/'3_一部損壊以上率'!$I$3, TRUE)</f>
        <v>1.7008922222299239E-27</v>
      </c>
      <c r="E17" s="1">
        <f t="shared" si="2"/>
        <v>1.6633598953400178E-52</v>
      </c>
      <c r="F17" s="1">
        <f t="shared" si="3"/>
        <v>1.6501145321813379E-50</v>
      </c>
      <c r="G17" s="1">
        <f t="shared" si="0"/>
        <v>1.7008922222299239E-27</v>
      </c>
      <c r="H17" s="1">
        <f t="shared" si="1"/>
        <v>1</v>
      </c>
      <c r="I17" s="1">
        <f t="shared" si="4"/>
        <v>8.5044611111496202E-29</v>
      </c>
    </row>
    <row r="18" spans="1:9" x14ac:dyDescent="0.4">
      <c r="A18" s="1">
        <v>1.3</v>
      </c>
      <c r="B18" s="1">
        <f>_xlfn.NORM.S.DIST(((A18)-'1_全壊率'!$H$3)/'1_全壊率'!$I$3, TRUE)</f>
        <v>1.2031988541761719E-50</v>
      </c>
      <c r="C18" s="1">
        <f>_xlfn.NORM.S.DIST(((A18)-'2_全半壊率'!$H$3)/'2_全半壊率'!$I$3, TRUE)</f>
        <v>1.3047199002076672E-48</v>
      </c>
      <c r="D18" s="1">
        <f>_xlfn.NORM.S.DIST(((A18)-'3_一部損壊以上率'!$H$3)/'3_一部損壊以上率'!$I$3, TRUE)</f>
        <v>1.8962890544846369E-26</v>
      </c>
      <c r="E18" s="1">
        <f t="shared" si="2"/>
        <v>1.2031988541761719E-50</v>
      </c>
      <c r="F18" s="1">
        <f t="shared" si="3"/>
        <v>1.2926879116659054E-48</v>
      </c>
      <c r="G18" s="1">
        <f t="shared" si="0"/>
        <v>1.8962890544846369E-26</v>
      </c>
      <c r="H18" s="1">
        <f t="shared" si="1"/>
        <v>1</v>
      </c>
      <c r="I18" s="1">
        <f t="shared" si="4"/>
        <v>9.4814452724231841E-28</v>
      </c>
    </row>
    <row r="19" spans="1:9" x14ac:dyDescent="0.4">
      <c r="A19" s="1">
        <v>1.4</v>
      </c>
      <c r="B19" s="1">
        <f>_xlfn.NORM.S.DIST(((A19)-'1_全壊率'!$H$3)/'1_全壊率'!$I$3, TRUE)</f>
        <v>8.036345085751461E-49</v>
      </c>
      <c r="C19" s="1">
        <f>_xlfn.NORM.S.DIST(((A19)-'2_全半壊率'!$H$3)/'2_全半壊率'!$I$3, TRUE)</f>
        <v>9.3699803729823302E-47</v>
      </c>
      <c r="D19" s="1">
        <f>_xlfn.NORM.S.DIST(((A19)-'3_一部損壊以上率'!$H$3)/'3_一部損壊以上率'!$I$3, TRUE)</f>
        <v>2.0118321109861705E-25</v>
      </c>
      <c r="E19" s="1">
        <f t="shared" si="2"/>
        <v>8.036345085751461E-49</v>
      </c>
      <c r="F19" s="1">
        <f t="shared" si="3"/>
        <v>9.2896169221248156E-47</v>
      </c>
      <c r="G19" s="1">
        <f t="shared" si="0"/>
        <v>2.0118321109861705E-25</v>
      </c>
      <c r="H19" s="1">
        <f t="shared" si="1"/>
        <v>1</v>
      </c>
      <c r="I19" s="1">
        <f t="shared" si="4"/>
        <v>1.0059160554930853E-26</v>
      </c>
    </row>
    <row r="20" spans="1:9" x14ac:dyDescent="0.4">
      <c r="A20" s="1">
        <v>1.5</v>
      </c>
      <c r="B20" s="1">
        <f>_xlfn.NORM.S.DIST(((A20)-'1_全壊率'!$H$3)/'1_全壊率'!$I$3, TRUE)</f>
        <v>4.9562763467676846E-47</v>
      </c>
      <c r="C20" s="1">
        <f>_xlfn.NORM.S.DIST(((A20)-'2_全半壊率'!$H$3)/'2_全半壊率'!$I$3, TRUE)</f>
        <v>6.1736369845739504E-45</v>
      </c>
      <c r="D20" s="1">
        <f>_xlfn.NORM.S.DIST(((A20)-'3_一部損壊以上率'!$H$3)/'3_一部損壊以上率'!$I$3, TRUE)</f>
        <v>2.0311688857756012E-24</v>
      </c>
      <c r="E20" s="1">
        <f t="shared" si="2"/>
        <v>4.9562763467676846E-47</v>
      </c>
      <c r="F20" s="1">
        <f t="shared" si="3"/>
        <v>6.1240742211062733E-45</v>
      </c>
      <c r="G20" s="1">
        <f t="shared" si="0"/>
        <v>2.0311688857756012E-24</v>
      </c>
      <c r="H20" s="1">
        <f t="shared" si="1"/>
        <v>1</v>
      </c>
      <c r="I20" s="1">
        <f t="shared" si="4"/>
        <v>1.0155844428878006E-25</v>
      </c>
    </row>
    <row r="21" spans="1:9" x14ac:dyDescent="0.4">
      <c r="A21" s="1">
        <v>1.6</v>
      </c>
      <c r="B21" s="1">
        <f>_xlfn.NORM.S.DIST(((A21)-'1_全壊率'!$H$3)/'1_全壊率'!$I$3, TRUE)</f>
        <v>2.8225024955552047E-45</v>
      </c>
      <c r="C21" s="1">
        <f>_xlfn.NORM.S.DIST(((A21)-'2_全半壊率'!$H$3)/'2_全半壊率'!$I$3, TRUE)</f>
        <v>3.7319160208757896E-43</v>
      </c>
      <c r="D21" s="1">
        <f>_xlfn.NORM.S.DIST(((A21)-'3_一部損壊以上率'!$H$3)/'3_一部損壊以上率'!$I$3, TRUE)</f>
        <v>1.9515314823416077E-23</v>
      </c>
      <c r="E21" s="1">
        <f t="shared" si="2"/>
        <v>2.8225024955552047E-45</v>
      </c>
      <c r="F21" s="1">
        <f t="shared" si="3"/>
        <v>3.7036909959202372E-43</v>
      </c>
      <c r="G21" s="1">
        <f t="shared" si="0"/>
        <v>1.9515314823416077E-23</v>
      </c>
      <c r="H21" s="1">
        <f t="shared" si="1"/>
        <v>1</v>
      </c>
      <c r="I21" s="1">
        <f t="shared" si="4"/>
        <v>9.7576574117080382E-25</v>
      </c>
    </row>
    <row r="22" spans="1:9" x14ac:dyDescent="0.4">
      <c r="A22" s="1">
        <v>1.7</v>
      </c>
      <c r="B22" s="1">
        <f>_xlfn.NORM.S.DIST(((A22)-'1_全壊率'!$H$3)/'1_全壊率'!$I$3, TRUE)</f>
        <v>1.4842310647692195E-43</v>
      </c>
      <c r="C22" s="1">
        <f>_xlfn.NORM.S.DIST(((A22)-'2_全半壊率'!$H$3)/'2_全半壊率'!$I$3, TRUE)</f>
        <v>2.0697543912707083E-41</v>
      </c>
      <c r="D22" s="1">
        <f>_xlfn.NORM.S.DIST(((A22)-'3_一部損壊以上率'!$H$3)/'3_一部損壊以上率'!$I$3, TRUE)</f>
        <v>1.784386615082492E-22</v>
      </c>
      <c r="E22" s="1">
        <f t="shared" si="2"/>
        <v>1.4842310647692195E-43</v>
      </c>
      <c r="F22" s="1">
        <f t="shared" si="3"/>
        <v>2.054912080623016E-41</v>
      </c>
      <c r="G22" s="1">
        <f t="shared" si="0"/>
        <v>1.784386615082492E-22</v>
      </c>
      <c r="H22" s="1">
        <f t="shared" si="1"/>
        <v>1</v>
      </c>
      <c r="I22" s="1">
        <f t="shared" si="4"/>
        <v>8.921933075412461E-24</v>
      </c>
    </row>
    <row r="23" spans="1:9" x14ac:dyDescent="0.4">
      <c r="A23" s="1">
        <v>1.8</v>
      </c>
      <c r="B23" s="1">
        <f>_xlfn.NORM.S.DIST(((A23)-'1_全壊率'!$H$3)/'1_全壊率'!$I$3, TRUE)</f>
        <v>7.2071560214920919E-42</v>
      </c>
      <c r="C23" s="1">
        <f>_xlfn.NORM.S.DIST(((A23)-'2_全半壊率'!$H$3)/'2_全半壊率'!$I$3, TRUE)</f>
        <v>1.053198543331629E-39</v>
      </c>
      <c r="D23" s="1">
        <f>_xlfn.NORM.S.DIST(((A23)-'3_一部損壊以上率'!$H$3)/'3_一部損壊以上率'!$I$3, TRUE)</f>
        <v>1.5527281368223561E-21</v>
      </c>
      <c r="E23" s="1">
        <f t="shared" si="2"/>
        <v>7.2071560214920919E-42</v>
      </c>
      <c r="F23" s="1">
        <f t="shared" si="3"/>
        <v>1.0459913873101369E-39</v>
      </c>
      <c r="G23" s="1">
        <f t="shared" si="0"/>
        <v>1.5527281368223561E-21</v>
      </c>
      <c r="H23" s="1">
        <f t="shared" si="1"/>
        <v>1</v>
      </c>
      <c r="I23" s="1">
        <f t="shared" si="4"/>
        <v>7.7636406841117811E-23</v>
      </c>
    </row>
    <row r="24" spans="1:9" x14ac:dyDescent="0.4">
      <c r="A24" s="1">
        <v>1.9</v>
      </c>
      <c r="B24" s="1">
        <f>_xlfn.NORM.S.DIST(((A24)-'1_全壊率'!$H$3)/'1_全壊率'!$I$3, TRUE)</f>
        <v>3.2316836140323012E-40</v>
      </c>
      <c r="C24" s="1">
        <f>_xlfn.NORM.S.DIST(((A24)-'2_全半壊率'!$H$3)/'2_全半壊率'!$I$3, TRUE)</f>
        <v>4.9171677410839197E-38</v>
      </c>
      <c r="D24" s="1">
        <f>_xlfn.NORM.S.DIST(((A24)-'3_一部損壊以上率'!$H$3)/'3_一部損壊以上率'!$I$3, TRUE)</f>
        <v>1.2858928199806056E-20</v>
      </c>
      <c r="E24" s="1">
        <f t="shared" si="2"/>
        <v>3.2316836140323012E-40</v>
      </c>
      <c r="F24" s="1">
        <f t="shared" si="3"/>
        <v>4.8848509049435963E-38</v>
      </c>
      <c r="G24" s="1">
        <f t="shared" si="0"/>
        <v>1.2858928199806056E-20</v>
      </c>
      <c r="H24" s="1">
        <f t="shared" si="1"/>
        <v>1</v>
      </c>
      <c r="I24" s="1">
        <f t="shared" si="4"/>
        <v>6.429464099903028E-22</v>
      </c>
    </row>
    <row r="25" spans="1:9" x14ac:dyDescent="0.4">
      <c r="A25" s="1">
        <v>2</v>
      </c>
      <c r="B25" s="1">
        <f>_xlfn.NORM.S.DIST(((A25)-'1_全壊率'!$H$3)/'1_全壊率'!$I$3, TRUE)</f>
        <v>1.3381475035182156E-38</v>
      </c>
      <c r="C25" s="1">
        <f>_xlfn.NORM.S.DIST(((A25)-'2_全半壊率'!$H$3)/'2_全半壊率'!$I$3, TRUE)</f>
        <v>2.1064083761996075E-36</v>
      </c>
      <c r="D25" s="1">
        <f>_xlfn.NORM.S.DIST(((A25)-'3_一部損壊以上率'!$H$3)/'3_一部損壊以上率'!$I$3, TRUE)</f>
        <v>1.0135086908113604E-19</v>
      </c>
      <c r="E25" s="1">
        <f t="shared" si="2"/>
        <v>1.3381475035182156E-38</v>
      </c>
      <c r="F25" s="1">
        <f t="shared" si="3"/>
        <v>2.0930269011644254E-36</v>
      </c>
      <c r="G25" s="1">
        <f t="shared" si="0"/>
        <v>1.0135086908113604E-19</v>
      </c>
      <c r="H25" s="1">
        <f t="shared" si="1"/>
        <v>1</v>
      </c>
      <c r="I25" s="1">
        <f t="shared" si="4"/>
        <v>5.0675434540568044E-21</v>
      </c>
    </row>
    <row r="26" spans="1:9" x14ac:dyDescent="0.4">
      <c r="A26" s="1">
        <v>2.1</v>
      </c>
      <c r="B26" s="1">
        <f>_xlfn.NORM.S.DIST(((A26)-'1_全壊率'!$H$3)/'1_全壊率'!$I$3, TRUE)</f>
        <v>5.1167901302270555E-37</v>
      </c>
      <c r="C26" s="1">
        <f>_xlfn.NORM.S.DIST(((A26)-'2_全半壊率'!$H$3)/'2_全半壊率'!$I$3, TRUE)</f>
        <v>8.2794783867450933E-35</v>
      </c>
      <c r="D26" s="1">
        <f>_xlfn.NORM.S.DIST(((A26)-'3_一部損壊以上率'!$H$3)/'3_一部損壊以上率'!$I$3, TRUE)</f>
        <v>7.6028205145228806E-19</v>
      </c>
      <c r="E26" s="1">
        <f t="shared" si="2"/>
        <v>5.1167901302270555E-37</v>
      </c>
      <c r="F26" s="1">
        <f t="shared" si="3"/>
        <v>8.2283104854428226E-35</v>
      </c>
      <c r="G26" s="1">
        <f t="shared" si="0"/>
        <v>7.6028205145228797E-19</v>
      </c>
      <c r="H26" s="1">
        <f t="shared" si="1"/>
        <v>1</v>
      </c>
      <c r="I26" s="1">
        <f t="shared" si="4"/>
        <v>3.8014102572614474E-20</v>
      </c>
    </row>
    <row r="27" spans="1:9" x14ac:dyDescent="0.4">
      <c r="A27" s="1">
        <v>2.2000000000000002</v>
      </c>
      <c r="B27" s="1">
        <f>_xlfn.NORM.S.DIST(((A27)-'1_全壊率'!$H$3)/'1_全壊率'!$I$3, TRUE)</f>
        <v>1.8068347794519251E-35</v>
      </c>
      <c r="C27" s="1">
        <f>_xlfn.NORM.S.DIST(((A27)-'2_全半壊率'!$H$3)/'2_全半壊率'!$I$3, TRUE)</f>
        <v>2.9861183293702043E-33</v>
      </c>
      <c r="D27" s="1">
        <f>_xlfn.NORM.S.DIST(((A27)-'3_一部損壊以上率'!$H$3)/'3_一部損壊以上率'!$I$3, TRUE)</f>
        <v>5.4282337516173099E-18</v>
      </c>
      <c r="E27" s="1">
        <f t="shared" si="2"/>
        <v>1.8068347794519251E-35</v>
      </c>
      <c r="F27" s="1">
        <f t="shared" si="3"/>
        <v>2.9680499815756851E-33</v>
      </c>
      <c r="G27" s="1">
        <f t="shared" si="0"/>
        <v>5.4282337516173068E-18</v>
      </c>
      <c r="H27" s="1">
        <f t="shared" si="1"/>
        <v>1</v>
      </c>
      <c r="I27" s="1">
        <f t="shared" si="4"/>
        <v>2.7141168758086805E-19</v>
      </c>
    </row>
    <row r="28" spans="1:9" x14ac:dyDescent="0.4">
      <c r="A28" s="1">
        <v>2.2999999999999998</v>
      </c>
      <c r="B28" s="1">
        <f>_xlfn.NORM.S.DIST(((A28)-'1_全壊率'!$H$3)/'1_全壊率'!$I$3, TRUE)</f>
        <v>5.8921776955688726E-34</v>
      </c>
      <c r="C28" s="1">
        <f>_xlfn.NORM.S.DIST(((A28)-'2_全半壊率'!$H$3)/'2_全半壊率'!$I$3, TRUE)</f>
        <v>9.8824864106463041E-32</v>
      </c>
      <c r="D28" s="1">
        <f>_xlfn.NORM.S.DIST(((A28)-'3_一部損壊以上率'!$H$3)/'3_一部損壊以上率'!$I$3, TRUE)</f>
        <v>3.6888563018228891E-17</v>
      </c>
      <c r="E28" s="1">
        <f t="shared" si="2"/>
        <v>5.8921776955688726E-34</v>
      </c>
      <c r="F28" s="1">
        <f t="shared" si="3"/>
        <v>9.8235646336906152E-32</v>
      </c>
      <c r="G28" s="1">
        <f t="shared" si="0"/>
        <v>3.6888563018228792E-17</v>
      </c>
      <c r="H28" s="1">
        <f t="shared" si="1"/>
        <v>1</v>
      </c>
      <c r="I28" s="1">
        <f t="shared" si="4"/>
        <v>1.8444281509115288E-18</v>
      </c>
    </row>
    <row r="29" spans="1:9" x14ac:dyDescent="0.4">
      <c r="A29" s="1">
        <v>2.4</v>
      </c>
      <c r="B29" s="1">
        <f>_xlfn.NORM.S.DIST(((A29)-'1_全壊率'!$H$3)/'1_全壊率'!$I$3, TRUE)</f>
        <v>1.7745153188224714E-32</v>
      </c>
      <c r="C29" s="1">
        <f>_xlfn.NORM.S.DIST(((A29)-'2_全半壊率'!$H$3)/'2_全半壊率'!$I$3, TRUE)</f>
        <v>3.0011865767245004E-30</v>
      </c>
      <c r="D29" s="1">
        <f>_xlfn.NORM.S.DIST(((A29)-'3_一部損壊以上率'!$H$3)/'3_一部損壊以上率'!$I$3, TRUE)</f>
        <v>2.3860971712455772E-16</v>
      </c>
      <c r="E29" s="1">
        <f t="shared" si="2"/>
        <v>1.7745153188224714E-32</v>
      </c>
      <c r="F29" s="1">
        <f t="shared" si="3"/>
        <v>2.9834414235362758E-30</v>
      </c>
      <c r="G29" s="1">
        <f t="shared" si="0"/>
        <v>2.3860971712455472E-16</v>
      </c>
      <c r="H29" s="1">
        <f t="shared" si="1"/>
        <v>0.99999999999999978</v>
      </c>
      <c r="I29" s="1">
        <f t="shared" si="4"/>
        <v>1.1930485856230439E-17</v>
      </c>
    </row>
    <row r="30" spans="1:9" x14ac:dyDescent="0.4">
      <c r="A30" s="1">
        <v>2.5</v>
      </c>
      <c r="B30" s="1">
        <f>_xlfn.NORM.S.DIST(((A30)-'1_全壊率'!$H$3)/'1_全壊率'!$I$3, TRUE)</f>
        <v>4.9356101244736264E-31</v>
      </c>
      <c r="C30" s="1">
        <f>_xlfn.NORM.S.DIST(((A30)-'2_全半壊率'!$H$3)/'2_全半壊率'!$I$3, TRUE)</f>
        <v>8.3637419045357804E-29</v>
      </c>
      <c r="D30" s="1">
        <f>_xlfn.NORM.S.DIST(((A30)-'3_一部損壊以上率'!$H$3)/'3_一部損壊以上率'!$I$3, TRUE)</f>
        <v>1.46913783345072E-15</v>
      </c>
      <c r="E30" s="1">
        <f t="shared" si="2"/>
        <v>4.9356101244736264E-31</v>
      </c>
      <c r="F30" s="1">
        <f t="shared" si="3"/>
        <v>8.3143858032910439E-29</v>
      </c>
      <c r="G30" s="1">
        <f t="shared" si="0"/>
        <v>1.4691378334506364E-15</v>
      </c>
      <c r="H30" s="1">
        <f t="shared" si="1"/>
        <v>0.99999999999999856</v>
      </c>
      <c r="I30" s="1">
        <f t="shared" si="4"/>
        <v>7.3456891672607154E-17</v>
      </c>
    </row>
    <row r="31" spans="1:9" x14ac:dyDescent="0.4">
      <c r="A31" s="1">
        <v>2.6</v>
      </c>
      <c r="B31" s="1">
        <f>_xlfn.NORM.S.DIST(((A31)-'1_全壊率'!$H$3)/'1_全壊率'!$I$3, TRUE)</f>
        <v>1.2678577264765214E-29</v>
      </c>
      <c r="C31" s="1">
        <f>_xlfn.NORM.S.DIST(((A31)-'2_全半壊率'!$H$3)/'2_全半壊率'!$I$3, TRUE)</f>
        <v>2.1389637271226093E-27</v>
      </c>
      <c r="D31" s="1">
        <f>_xlfn.NORM.S.DIST(((A31)-'3_一部損壊以上率'!$H$3)/'3_一部損壊以上率'!$I$3, TRUE)</f>
        <v>8.6105515310121866E-15</v>
      </c>
      <c r="E31" s="1">
        <f t="shared" si="2"/>
        <v>1.2678577264765214E-29</v>
      </c>
      <c r="F31" s="1">
        <f t="shared" si="3"/>
        <v>2.126285149857844E-27</v>
      </c>
      <c r="G31" s="1">
        <f t="shared" si="0"/>
        <v>8.6105515310100472E-15</v>
      </c>
      <c r="H31" s="1">
        <f t="shared" si="1"/>
        <v>0.99999999999999134</v>
      </c>
      <c r="I31" s="1">
        <f t="shared" si="4"/>
        <v>4.3052757655242872E-16</v>
      </c>
    </row>
    <row r="32" spans="1:9" x14ac:dyDescent="0.4">
      <c r="A32" s="1">
        <v>2.7</v>
      </c>
      <c r="B32" s="1">
        <f>_xlfn.NORM.S.DIST(((A32)-'1_全壊率'!$H$3)/'1_全壊率'!$I$3, TRUE)</f>
        <v>3.0080219855587282E-28</v>
      </c>
      <c r="C32" s="1">
        <f>_xlfn.NORM.S.DIST(((A32)-'2_全半壊率'!$H$3)/'2_全半壊率'!$I$3, TRUE)</f>
        <v>5.0201513990634529E-26</v>
      </c>
      <c r="D32" s="1">
        <f>_xlfn.NORM.S.DIST(((A32)-'3_一部損壊以上率'!$H$3)/'3_一部損壊以上率'!$I$3, TRUE)</f>
        <v>4.804084637727155E-14</v>
      </c>
      <c r="E32" s="1">
        <f t="shared" si="2"/>
        <v>3.0080219855587282E-28</v>
      </c>
      <c r="F32" s="1">
        <f t="shared" si="3"/>
        <v>4.9900711792078654E-26</v>
      </c>
      <c r="G32" s="1">
        <f t="shared" si="0"/>
        <v>4.8040846377221347E-14</v>
      </c>
      <c r="H32" s="1">
        <f t="shared" si="1"/>
        <v>0.99999999999995193</v>
      </c>
      <c r="I32" s="1">
        <f t="shared" si="4"/>
        <v>2.4020423189062789E-15</v>
      </c>
    </row>
    <row r="33" spans="1:9" x14ac:dyDescent="0.4">
      <c r="A33" s="1">
        <v>2.8</v>
      </c>
      <c r="B33" s="1">
        <f>_xlfn.NORM.S.DIST(((A33)-'1_全壊率'!$H$3)/'1_全壊率'!$I$3, TRUE)</f>
        <v>6.5915178184996035E-27</v>
      </c>
      <c r="C33" s="1">
        <f>_xlfn.NORM.S.DIST(((A33)-'2_全半壊率'!$H$3)/'2_全半壊率'!$I$3, TRUE)</f>
        <v>1.0813280476947918E-24</v>
      </c>
      <c r="D33" s="1">
        <f>_xlfn.NORM.S.DIST(((A33)-'3_一部損壊以上率'!$H$3)/'3_一部損壊以上率'!$I$3, TRUE)</f>
        <v>2.5516447995223375E-13</v>
      </c>
      <c r="E33" s="1">
        <f t="shared" si="2"/>
        <v>6.5915178184996035E-27</v>
      </c>
      <c r="F33" s="1">
        <f t="shared" si="3"/>
        <v>1.0747365298762923E-24</v>
      </c>
      <c r="G33" s="1">
        <f t="shared" si="0"/>
        <v>2.5516447995115242E-13</v>
      </c>
      <c r="H33" s="1">
        <f t="shared" si="1"/>
        <v>0.99999999999974487</v>
      </c>
      <c r="I33" s="1">
        <f t="shared" si="4"/>
        <v>1.2758223998531477E-14</v>
      </c>
    </row>
    <row r="34" spans="1:9" x14ac:dyDescent="0.4">
      <c r="A34" s="1">
        <v>2.9</v>
      </c>
      <c r="B34" s="1">
        <f>_xlfn.NORM.S.DIST(((A34)-'1_全壊率'!$H$3)/'1_全壊率'!$I$3, TRUE)</f>
        <v>1.3341292836190607E-25</v>
      </c>
      <c r="C34" s="1">
        <f>_xlfn.NORM.S.DIST(((A34)-'2_全半壊率'!$H$3)/'2_全半壊率'!$I$3, TRUE)</f>
        <v>2.1376834939150466E-23</v>
      </c>
      <c r="D34" s="1">
        <f>_xlfn.NORM.S.DIST(((A34)-'3_一部損壊以上率'!$H$3)/'3_一部損壊以上率'!$I$3, TRUE)</f>
        <v>1.2902677838158594E-12</v>
      </c>
      <c r="E34" s="1">
        <f t="shared" si="2"/>
        <v>1.3341292836190607E-25</v>
      </c>
      <c r="F34" s="1">
        <f t="shared" si="3"/>
        <v>2.124342201078856E-23</v>
      </c>
      <c r="G34" s="1">
        <f t="shared" si="0"/>
        <v>1.2902677837944825E-12</v>
      </c>
      <c r="H34" s="1">
        <f t="shared" si="1"/>
        <v>0.9999999999987097</v>
      </c>
      <c r="I34" s="1">
        <f t="shared" si="4"/>
        <v>6.4513389208976622E-14</v>
      </c>
    </row>
    <row r="35" spans="1:9" x14ac:dyDescent="0.4">
      <c r="A35" s="1">
        <v>3</v>
      </c>
      <c r="B35" s="1">
        <f>_xlfn.NORM.S.DIST(((A35)-'1_全壊率'!$H$3)/'1_全壊率'!$I$3, TRUE)</f>
        <v>2.4942138188287068E-24</v>
      </c>
      <c r="C35" s="1">
        <f>_xlfn.NORM.S.DIST(((A35)-'2_全半壊率'!$H$3)/'2_全半壊率'!$I$3, TRUE)</f>
        <v>3.8787712050253371E-22</v>
      </c>
      <c r="D35" s="1">
        <f>_xlfn.NORM.S.DIST(((A35)-'3_一部損壊以上率'!$H$3)/'3_一部損壊以上率'!$I$3, TRUE)</f>
        <v>6.2117139198961254E-12</v>
      </c>
      <c r="E35" s="1">
        <f t="shared" si="2"/>
        <v>2.4942138188287068E-24</v>
      </c>
      <c r="F35" s="1">
        <f t="shared" si="3"/>
        <v>3.8538290668370499E-22</v>
      </c>
      <c r="G35" s="1">
        <f t="shared" si="0"/>
        <v>6.211713919508248E-12</v>
      </c>
      <c r="H35" s="1">
        <f t="shared" si="1"/>
        <v>0.9999999999937883</v>
      </c>
      <c r="I35" s="1">
        <f t="shared" si="4"/>
        <v>3.1058569632475125E-13</v>
      </c>
    </row>
    <row r="36" spans="1:9" x14ac:dyDescent="0.4">
      <c r="A36" s="1">
        <v>3.1</v>
      </c>
      <c r="B36" s="1">
        <f>_xlfn.NORM.S.DIST(((A36)-'1_全壊率'!$H$3)/'1_全壊率'!$I$3, TRUE)</f>
        <v>4.3073399111230348E-23</v>
      </c>
      <c r="C36" s="1">
        <f>_xlfn.NORM.S.DIST(((A36)-'2_全半壊率'!$H$3)/'2_全半壊率'!$I$3, TRUE)</f>
        <v>6.4599770016849491E-21</v>
      </c>
      <c r="D36" s="1">
        <f>_xlfn.NORM.S.DIST(((A36)-'3_一部損壊以上率'!$H$3)/'3_一部損壊以上率'!$I$3, TRUE)</f>
        <v>2.8473364686469613E-11</v>
      </c>
      <c r="E36" s="1">
        <f t="shared" si="2"/>
        <v>4.3073399111230348E-23</v>
      </c>
      <c r="F36" s="1">
        <f t="shared" si="3"/>
        <v>6.4169036025737191E-21</v>
      </c>
      <c r="G36" s="1">
        <f t="shared" si="0"/>
        <v>2.8473364680009636E-11</v>
      </c>
      <c r="H36" s="1">
        <f t="shared" si="1"/>
        <v>0.99999999997152667</v>
      </c>
      <c r="I36" s="1">
        <f t="shared" si="4"/>
        <v>1.4236682398187685E-12</v>
      </c>
    </row>
    <row r="37" spans="1:9" x14ac:dyDescent="0.4">
      <c r="A37" s="1">
        <v>3.2</v>
      </c>
      <c r="B37" s="1">
        <f>_xlfn.NORM.S.DIST(((A37)-'1_全壊率'!$H$3)/'1_全壊率'!$I$3, TRUE)</f>
        <v>6.8713499461426599E-22</v>
      </c>
      <c r="C37" s="1">
        <f>_xlfn.NORM.S.DIST(((A37)-'2_全半壊率'!$H$3)/'2_全半壊率'!$I$3, TRUE)</f>
        <v>9.8759058302211481E-20</v>
      </c>
      <c r="D37" s="1">
        <f>_xlfn.NORM.S.DIST(((A37)-'3_一部損壊以上率'!$H$3)/'3_一部損壊以上率'!$I$3, TRUE)</f>
        <v>1.2427615422943116E-10</v>
      </c>
      <c r="E37" s="1">
        <f t="shared" si="2"/>
        <v>6.8713499461426599E-22</v>
      </c>
      <c r="F37" s="1">
        <f t="shared" si="3"/>
        <v>9.8071923307597215E-20</v>
      </c>
      <c r="G37" s="1">
        <f t="shared" si="0"/>
        <v>1.242761541306721E-10</v>
      </c>
      <c r="H37" s="1">
        <f t="shared" si="1"/>
        <v>0.99999999987572386</v>
      </c>
      <c r="I37" s="1">
        <f t="shared" si="4"/>
        <v>6.2138077954854709E-12</v>
      </c>
    </row>
    <row r="38" spans="1:9" x14ac:dyDescent="0.4">
      <c r="A38" s="1">
        <v>3.3</v>
      </c>
      <c r="B38" s="1">
        <f>_xlfn.NORM.S.DIST(((A38)-'1_全壊率'!$H$3)/'1_全壊率'!$I$3, TRUE)</f>
        <v>1.012632088532602E-20</v>
      </c>
      <c r="C38" s="1">
        <f>_xlfn.NORM.S.DIST(((A38)-'2_全半壊率'!$H$3)/'2_全半壊率'!$I$3, TRUE)</f>
        <v>1.3859810228663351E-18</v>
      </c>
      <c r="D38" s="1">
        <f>_xlfn.NORM.S.DIST(((A38)-'3_一部損壊以上率'!$H$3)/'3_一部損壊以上率'!$I$3, TRUE)</f>
        <v>5.1651957204329559E-10</v>
      </c>
      <c r="E38" s="1">
        <f t="shared" si="2"/>
        <v>1.012632088532602E-20</v>
      </c>
      <c r="F38" s="1">
        <f t="shared" si="3"/>
        <v>1.3758547019810091E-18</v>
      </c>
      <c r="G38" s="1">
        <f t="shared" si="0"/>
        <v>5.1651957065731456E-10</v>
      </c>
      <c r="H38" s="1">
        <f t="shared" si="1"/>
        <v>0.9999999994834804</v>
      </c>
      <c r="I38" s="1">
        <f t="shared" si="4"/>
        <v>2.5825979781261282E-11</v>
      </c>
    </row>
    <row r="39" spans="1:9" x14ac:dyDescent="0.4">
      <c r="A39" s="1">
        <v>3.4</v>
      </c>
      <c r="B39" s="1">
        <f>_xlfn.NORM.S.DIST(((A39)-'1_全壊率'!$H$3)/'1_全壊率'!$I$3, TRUE)</f>
        <v>1.3786654315969862E-19</v>
      </c>
      <c r="C39" s="1">
        <f>_xlfn.NORM.S.DIST(((A39)-'2_全半壊率'!$H$3)/'2_全半壊率'!$I$3, TRUE)</f>
        <v>1.7856633459128906E-17</v>
      </c>
      <c r="D39" s="1">
        <f>_xlfn.NORM.S.DIST(((A39)-'3_一部損壊以上率'!$H$3)/'3_一部損壊以上率'!$I$3, TRUE)</f>
        <v>2.0444037758839261E-9</v>
      </c>
      <c r="E39" s="1">
        <f t="shared" si="2"/>
        <v>1.3786654315969862E-19</v>
      </c>
      <c r="F39" s="1">
        <f t="shared" si="3"/>
        <v>1.7718766915969209E-17</v>
      </c>
      <c r="G39" s="1">
        <f t="shared" si="0"/>
        <v>2.0444037580272928E-9</v>
      </c>
      <c r="H39" s="1">
        <f t="shared" si="1"/>
        <v>0.99999999795559624</v>
      </c>
      <c r="I39" s="1">
        <f t="shared" si="4"/>
        <v>1.0222020398612142E-10</v>
      </c>
    </row>
    <row r="40" spans="1:9" x14ac:dyDescent="0.4">
      <c r="A40" s="1">
        <v>3.5</v>
      </c>
      <c r="B40" s="1">
        <f>_xlfn.NORM.S.DIST(((A40)-'1_全壊率'!$H$3)/'1_全壊率'!$I$3, TRUE)</f>
        <v>1.7341489319159419E-18</v>
      </c>
      <c r="C40" s="1">
        <f>_xlfn.NORM.S.DIST(((A40)-'2_全半壊率'!$H$3)/'2_全半壊率'!$I$3, TRUE)</f>
        <v>2.1121953599776352E-16</v>
      </c>
      <c r="D40" s="1">
        <f>_xlfn.NORM.S.DIST(((A40)-'3_一部損壊以上率'!$H$3)/'3_一部損壊以上率'!$I$3, TRUE)</f>
        <v>7.7065752450714182E-9</v>
      </c>
      <c r="E40" s="1">
        <f t="shared" si="2"/>
        <v>1.7341489319159419E-18</v>
      </c>
      <c r="F40" s="1">
        <f t="shared" si="3"/>
        <v>2.0948538706584759E-16</v>
      </c>
      <c r="G40" s="1">
        <f t="shared" si="0"/>
        <v>7.7065750338518828E-9</v>
      </c>
      <c r="H40" s="1">
        <f t="shared" si="1"/>
        <v>0.99999999229342473</v>
      </c>
      <c r="I40" s="1">
        <f t="shared" si="4"/>
        <v>3.8532894196359146E-10</v>
      </c>
    </row>
    <row r="41" spans="1:9" x14ac:dyDescent="0.4">
      <c r="A41" s="1">
        <v>3.6</v>
      </c>
      <c r="B41" s="1">
        <f>_xlfn.NORM.S.DIST(((A41)-'1_全壊率'!$H$3)/'1_全壊率'!$I$3, TRUE)</f>
        <v>2.0153894494499559E-17</v>
      </c>
      <c r="C41" s="1">
        <f>_xlfn.NORM.S.DIST(((A41)-'2_全半壊率'!$H$3)/'2_全半壊率'!$I$3, TRUE)</f>
        <v>2.2940032870738136E-15</v>
      </c>
      <c r="D41" s="1">
        <f>_xlfn.NORM.S.DIST(((A41)-'3_一部損壊以上率'!$H$3)/'3_一部損壊以上率'!$I$3, TRUE)</f>
        <v>2.7669947798365913E-8</v>
      </c>
      <c r="E41" s="1">
        <f t="shared" si="2"/>
        <v>2.0153894494499559E-17</v>
      </c>
      <c r="F41" s="1">
        <f t="shared" si="3"/>
        <v>2.2738493925793138E-15</v>
      </c>
      <c r="G41" s="1">
        <f t="shared" si="0"/>
        <v>2.7669945504362626E-8</v>
      </c>
      <c r="H41" s="1">
        <f t="shared" si="1"/>
        <v>0.99999997233005222</v>
      </c>
      <c r="I41" s="1">
        <f t="shared" si="4"/>
        <v>1.3834993418364793E-9</v>
      </c>
    </row>
    <row r="42" spans="1:9" x14ac:dyDescent="0.4">
      <c r="A42" s="1">
        <v>3.7</v>
      </c>
      <c r="B42" s="1">
        <f>_xlfn.NORM.S.DIST(((A42)-'1_全壊率'!$H$3)/'1_全壊率'!$I$3, TRUE)</f>
        <v>2.1642315724194437E-16</v>
      </c>
      <c r="C42" s="1">
        <f>_xlfn.NORM.S.DIST(((A42)-'2_全半壊率'!$H$3)/'2_全半壊率'!$I$3, TRUE)</f>
        <v>2.2877896920810163E-14</v>
      </c>
      <c r="D42" s="1">
        <f>_xlfn.NORM.S.DIST(((A42)-'3_一部損壊以上率'!$H$3)/'3_一部損壊以上率'!$I$3, TRUE)</f>
        <v>9.4634293253707494E-8</v>
      </c>
      <c r="E42" s="1">
        <f t="shared" si="2"/>
        <v>2.1642315724194437E-16</v>
      </c>
      <c r="F42" s="1">
        <f t="shared" si="3"/>
        <v>2.2661473763568218E-14</v>
      </c>
      <c r="G42" s="1">
        <f t="shared" si="0"/>
        <v>9.4634270375810571E-8</v>
      </c>
      <c r="H42" s="1">
        <f t="shared" si="1"/>
        <v>0.99999990536570671</v>
      </c>
      <c r="I42" s="1">
        <f t="shared" si="4"/>
        <v>4.7317341305400734E-9</v>
      </c>
    </row>
    <row r="43" spans="1:9" x14ac:dyDescent="0.4">
      <c r="A43" s="1">
        <v>3.8</v>
      </c>
      <c r="B43" s="1">
        <f>_xlfn.NORM.S.DIST(((A43)-'1_全壊率'!$H$3)/'1_全壊率'!$I$3, TRUE)</f>
        <v>2.1475847075062746E-15</v>
      </c>
      <c r="C43" s="1">
        <f>_xlfn.NORM.S.DIST(((A43)-'2_全半壊率'!$H$3)/'2_全半壊率'!$I$3, TRUE)</f>
        <v>2.095273933900896E-13</v>
      </c>
      <c r="D43" s="1">
        <f>_xlfn.NORM.S.DIST(((A43)-'3_一部損壊以上率'!$H$3)/'3_一部損壊以上率'!$I$3, TRUE)</f>
        <v>3.0833829531697252E-7</v>
      </c>
      <c r="E43" s="1">
        <f t="shared" si="2"/>
        <v>2.1475847075062746E-15</v>
      </c>
      <c r="F43" s="1">
        <f t="shared" si="3"/>
        <v>2.0737980868258332E-13</v>
      </c>
      <c r="G43" s="1">
        <f t="shared" si="0"/>
        <v>3.0833808578957913E-7</v>
      </c>
      <c r="H43" s="1">
        <f t="shared" si="1"/>
        <v>0.99999969166170466</v>
      </c>
      <c r="I43" s="1">
        <f t="shared" si="4"/>
        <v>1.5417093078891479E-8</v>
      </c>
    </row>
    <row r="44" spans="1:9" x14ac:dyDescent="0.4">
      <c r="A44" s="1">
        <v>3.9</v>
      </c>
      <c r="B44" s="1">
        <f>_xlfn.NORM.S.DIST(((A44)-'1_全壊率'!$H$3)/'1_全壊率'!$I$3, TRUE)</f>
        <v>1.9693880184122932E-14</v>
      </c>
      <c r="C44" s="1">
        <f>_xlfn.NORM.S.DIST(((A44)-'2_全半壊率'!$H$3)/'2_全半壊率'!$I$3, TRUE)</f>
        <v>1.7624350955359943E-12</v>
      </c>
      <c r="D44" s="1">
        <f>_xlfn.NORM.S.DIST(((A44)-'3_一部損壊以上率'!$H$3)/'3_一部損壊以上率'!$I$3, TRUE)</f>
        <v>9.5718404738429754E-7</v>
      </c>
      <c r="E44" s="1">
        <f t="shared" si="2"/>
        <v>1.9693880184122932E-14</v>
      </c>
      <c r="F44" s="1">
        <f t="shared" si="3"/>
        <v>1.7427412153518714E-12</v>
      </c>
      <c r="G44" s="1">
        <f t="shared" si="0"/>
        <v>9.5718228494920209E-7</v>
      </c>
      <c r="H44" s="1">
        <f t="shared" si="1"/>
        <v>0.99999904281595264</v>
      </c>
      <c r="I44" s="1">
        <f t="shared" si="4"/>
        <v>4.7860702408434111E-8</v>
      </c>
    </row>
    <row r="45" spans="1:9" x14ac:dyDescent="0.4">
      <c r="A45" s="1">
        <v>4</v>
      </c>
      <c r="B45" s="1">
        <f>_xlfn.NORM.S.DIST(((A45)-'1_全壊率'!$H$3)/'1_全壊率'!$I$3, TRUE)</f>
        <v>1.6691008817792726E-13</v>
      </c>
      <c r="C45" s="1">
        <f>_xlfn.NORM.S.DIST(((A45)-'2_全半壊率'!$H$3)/'2_全半壊率'!$I$3, TRUE)</f>
        <v>1.361705211420696E-11</v>
      </c>
      <c r="D45" s="1">
        <f>_xlfn.NORM.S.DIST(((A45)-'3_一部損壊以上率'!$H$3)/'3_一部損壊以上率'!$I$3, TRUE)</f>
        <v>2.8314469772530275E-6</v>
      </c>
      <c r="E45" s="1">
        <f t="shared" si="2"/>
        <v>1.6691008817792726E-13</v>
      </c>
      <c r="F45" s="1">
        <f t="shared" si="3"/>
        <v>1.3450142026029032E-11</v>
      </c>
      <c r="G45" s="1">
        <f t="shared" si="0"/>
        <v>2.8314333602009133E-6</v>
      </c>
      <c r="H45" s="1">
        <f t="shared" si="1"/>
        <v>0.99999716855302279</v>
      </c>
      <c r="I45" s="1">
        <f t="shared" si="4"/>
        <v>1.4158394004795726E-7</v>
      </c>
    </row>
    <row r="46" spans="1:9" x14ac:dyDescent="0.4">
      <c r="A46" s="1">
        <v>4.0999999999999996</v>
      </c>
      <c r="B46" s="1">
        <f>_xlfn.NORM.S.DIST(((A46)-'1_全壊率'!$H$3)/'1_全壊率'!$I$3, TRUE)</f>
        <v>1.307506431869687E-12</v>
      </c>
      <c r="C46" s="1">
        <f>_xlfn.NORM.S.DIST(((A46)-'2_全半壊率'!$H$3)/'2_全半壊率'!$I$3, TRUE)</f>
        <v>9.665105110832008E-11</v>
      </c>
      <c r="D46" s="1">
        <f>_xlfn.NORM.S.DIST(((A46)-'3_一部損壊以上率'!$H$3)/'3_一部損壊以上率'!$I$3, TRUE)</f>
        <v>7.9823128898290151E-6</v>
      </c>
      <c r="E46" s="1">
        <f t="shared" si="2"/>
        <v>1.307506431869687E-12</v>
      </c>
      <c r="F46" s="1">
        <f t="shared" si="3"/>
        <v>9.5343544676450399E-11</v>
      </c>
      <c r="G46" s="1">
        <f t="shared" si="0"/>
        <v>7.9822162387779068E-6</v>
      </c>
      <c r="H46" s="1">
        <f t="shared" si="1"/>
        <v>0.99999201768711021</v>
      </c>
      <c r="I46" s="1">
        <f t="shared" si="4"/>
        <v>3.9919792863553605E-7</v>
      </c>
    </row>
    <row r="47" spans="1:9" x14ac:dyDescent="0.4">
      <c r="A47" s="1">
        <v>4.2</v>
      </c>
      <c r="B47" s="1">
        <f>_xlfn.NORM.S.DIST(((A47)-'1_全壊率'!$H$3)/'1_全壊率'!$I$3, TRUE)</f>
        <v>9.4680154114287592E-12</v>
      </c>
      <c r="C47" s="1">
        <f>_xlfn.NORM.S.DIST(((A47)-'2_全半壊率'!$H$3)/'2_全半壊率'!$I$3, TRUE)</f>
        <v>6.3029837958938073E-10</v>
      </c>
      <c r="D47" s="1">
        <f>_xlfn.NORM.S.DIST(((A47)-'3_一部損壊以上率'!$H$3)/'3_一部損壊以上率'!$I$3, TRUE)</f>
        <v>2.1449939733994699E-5</v>
      </c>
      <c r="E47" s="1">
        <f t="shared" si="2"/>
        <v>9.4680154114287592E-12</v>
      </c>
      <c r="F47" s="1">
        <f t="shared" si="3"/>
        <v>6.2083036417795193E-10</v>
      </c>
      <c r="G47" s="1">
        <f t="shared" si="0"/>
        <v>2.1449309435615109E-5</v>
      </c>
      <c r="H47" s="1">
        <f t="shared" si="1"/>
        <v>0.99997855006026604</v>
      </c>
      <c r="I47" s="1">
        <f t="shared" si="4"/>
        <v>1.0730336871239271E-6</v>
      </c>
    </row>
    <row r="48" spans="1:9" x14ac:dyDescent="0.4">
      <c r="A48" s="1">
        <v>4.3</v>
      </c>
      <c r="B48" s="1">
        <f>_xlfn.NORM.S.DIST(((A48)-'1_全壊率'!$H$3)/'1_全壊率'!$I$3, TRUE)</f>
        <v>6.3383580520297914E-11</v>
      </c>
      <c r="C48" s="1">
        <f>_xlfn.NORM.S.DIST(((A48)-'2_全半壊率'!$H$3)/'2_全半壊率'!$I$3, TRUE)</f>
        <v>3.7772207379046679E-9</v>
      </c>
      <c r="D48" s="1">
        <f>_xlfn.NORM.S.DIST(((A48)-'3_一部損壊以上率'!$H$3)/'3_一部損壊以上率'!$I$3, TRUE)</f>
        <v>5.4951374775177122E-5</v>
      </c>
      <c r="E48" s="1">
        <f t="shared" si="2"/>
        <v>6.3383580520297914E-11</v>
      </c>
      <c r="F48" s="1">
        <f t="shared" si="3"/>
        <v>3.7138371573843699E-9</v>
      </c>
      <c r="G48" s="1">
        <f t="shared" si="0"/>
        <v>5.494759755443922E-5</v>
      </c>
      <c r="H48" s="1">
        <f t="shared" si="1"/>
        <v>0.99994504862522482</v>
      </c>
      <c r="I48" s="1">
        <f t="shared" si="4"/>
        <v>2.7507857147441274E-6</v>
      </c>
    </row>
    <row r="49" spans="1:9" x14ac:dyDescent="0.4">
      <c r="A49" s="1">
        <v>4.4000000000000004</v>
      </c>
      <c r="B49" s="1">
        <f>_xlfn.NORM.S.DIST(((A49)-'1_全壊率'!$H$3)/'1_全壊率'!$I$3, TRUE)</f>
        <v>3.9233016900430492E-10</v>
      </c>
      <c r="C49" s="1">
        <f>_xlfn.NORM.S.DIST(((A49)-'2_全半壊率'!$H$3)/'2_全半壊率'!$I$3, TRUE)</f>
        <v>2.080485384491101E-8</v>
      </c>
      <c r="D49" s="1">
        <f>_xlfn.NORM.S.DIST(((A49)-'3_一部損壊以上率'!$H$3)/'3_一部損壊以上率'!$I$3, TRUE)</f>
        <v>1.3423758114878214E-4</v>
      </c>
      <c r="E49" s="1">
        <f t="shared" si="2"/>
        <v>3.9233016900430492E-10</v>
      </c>
      <c r="F49" s="1">
        <f t="shared" si="3"/>
        <v>2.0412523675906705E-8</v>
      </c>
      <c r="G49" s="1">
        <f t="shared" si="0"/>
        <v>1.3421677629493723E-4</v>
      </c>
      <c r="H49" s="1">
        <f t="shared" si="1"/>
        <v>0.99986576241885117</v>
      </c>
      <c r="I49" s="1">
        <f t="shared" si="4"/>
        <v>6.7296024162241819E-6</v>
      </c>
    </row>
    <row r="50" spans="1:9" x14ac:dyDescent="0.4">
      <c r="A50" s="1">
        <v>4.5</v>
      </c>
      <c r="B50" s="1">
        <f>_xlfn.NORM.S.DIST(((A50)-'1_全壊率'!$H$3)/'1_全壊率'!$I$3, TRUE)</f>
        <v>2.2456634883990286E-9</v>
      </c>
      <c r="C50" s="1">
        <f>_xlfn.NORM.S.DIST(((A50)-'2_全半壊率'!$H$3)/'2_全半壊率'!$I$3, TRUE)</f>
        <v>1.0534486149441905E-7</v>
      </c>
      <c r="D50" s="1">
        <f>_xlfn.NORM.S.DIST(((A50)-'3_一部損壊以上率'!$H$3)/'3_一部損壊以上率'!$I$3, TRUE)</f>
        <v>3.127605606289103E-4</v>
      </c>
      <c r="E50" s="1">
        <f t="shared" si="2"/>
        <v>2.2456634883990286E-9</v>
      </c>
      <c r="F50" s="1">
        <f t="shared" si="3"/>
        <v>1.0309919800602003E-7</v>
      </c>
      <c r="G50" s="1">
        <f t="shared" si="0"/>
        <v>3.1265521576741588E-4</v>
      </c>
      <c r="H50" s="1">
        <f t="shared" si="1"/>
        <v>0.9996872394393711</v>
      </c>
      <c r="I50" s="1">
        <f t="shared" si="4"/>
        <v>1.5727795730064611E-5</v>
      </c>
    </row>
    <row r="51" spans="1:9" x14ac:dyDescent="0.4">
      <c r="A51" s="1">
        <v>4.5999999999999996</v>
      </c>
      <c r="B51" s="1">
        <f>_xlfn.NORM.S.DIST(((A51)-'1_全壊率'!$H$3)/'1_全壊率'!$I$3, TRUE)</f>
        <v>1.1888418904646958E-8</v>
      </c>
      <c r="C51" s="1">
        <f>_xlfn.NORM.S.DIST(((A51)-'2_全半壊率'!$H$3)/'2_全半壊率'!$I$3, TRUE)</f>
        <v>4.9047996353786249E-7</v>
      </c>
      <c r="D51" s="1">
        <f>_xlfn.NORM.S.DIST(((A51)-'3_一部損壊以上率'!$H$3)/'3_一部損壊以上率'!$I$3, TRUE)</f>
        <v>6.9519167848100831E-4</v>
      </c>
      <c r="E51" s="1">
        <f t="shared" si="2"/>
        <v>1.1888418904646958E-8</v>
      </c>
      <c r="F51" s="1">
        <f t="shared" si="3"/>
        <v>4.7859154463321556E-7</v>
      </c>
      <c r="G51" s="1">
        <f t="shared" si="0"/>
        <v>6.9470119851747041E-4</v>
      </c>
      <c r="H51" s="1">
        <f t="shared" si="1"/>
        <v>0.99930480832151902</v>
      </c>
      <c r="I51" s="1">
        <f t="shared" si="4"/>
        <v>3.5177680734948065E-5</v>
      </c>
    </row>
    <row r="52" spans="1:9" x14ac:dyDescent="0.4">
      <c r="A52" s="1">
        <v>4.7</v>
      </c>
      <c r="B52" s="1">
        <f>_xlfn.NORM.S.DIST(((A52)-'1_全壊率'!$H$3)/'1_全壊率'!$I$3, TRUE)</f>
        <v>5.8219317162482769E-8</v>
      </c>
      <c r="C52" s="1">
        <f>_xlfn.NORM.S.DIST(((A52)-'2_全半壊率'!$H$3)/'2_全半壊率'!$I$3, TRUE)</f>
        <v>2.1004200602561815E-6</v>
      </c>
      <c r="D52" s="1">
        <f>_xlfn.NORM.S.DIST(((A52)-'3_一部損壊以上率'!$H$3)/'3_一部損壊以上率'!$I$3, TRUE)</f>
        <v>1.4746183399877173E-3</v>
      </c>
      <c r="E52" s="1">
        <f t="shared" si="2"/>
        <v>5.8219317162482769E-8</v>
      </c>
      <c r="F52" s="1">
        <f t="shared" si="3"/>
        <v>2.0422007430936987E-6</v>
      </c>
      <c r="G52" s="1">
        <f t="shared" si="0"/>
        <v>1.472517919927461E-3</v>
      </c>
      <c r="H52" s="1">
        <f t="shared" si="1"/>
        <v>0.99852538166001226</v>
      </c>
      <c r="I52" s="1">
        <f t="shared" si="4"/>
        <v>7.552209598231987E-5</v>
      </c>
    </row>
    <row r="53" spans="1:9" x14ac:dyDescent="0.4">
      <c r="A53" s="1">
        <v>4.8</v>
      </c>
      <c r="B53" s="1">
        <f>_xlfn.NORM.S.DIST(((A53)-'1_全壊率'!$H$3)/'1_全壊率'!$I$3, TRUE)</f>
        <v>2.6379164214844288E-7</v>
      </c>
      <c r="C53" s="1">
        <f>_xlfn.NORM.S.DIST(((A53)-'2_全半壊率'!$H$3)/'2_全半壊率'!$I$3, TRUE)</f>
        <v>8.2756762980747147E-6</v>
      </c>
      <c r="D53" s="1">
        <f>_xlfn.NORM.S.DIST(((A53)-'3_一部損壊以上率'!$H$3)/'3_一部損壊以上率'!$I$3, TRUE)</f>
        <v>2.9859526423710657E-3</v>
      </c>
      <c r="E53" s="1">
        <f t="shared" si="2"/>
        <v>2.6379164214844288E-7</v>
      </c>
      <c r="F53" s="1">
        <f t="shared" si="3"/>
        <v>8.0118846559262714E-6</v>
      </c>
      <c r="G53" s="1">
        <f t="shared" si="0"/>
        <v>2.977676966072991E-3</v>
      </c>
      <c r="H53" s="1">
        <f t="shared" si="1"/>
        <v>0.99701404735762889</v>
      </c>
      <c r="I53" s="1">
        <f t="shared" si="4"/>
        <v>1.5635833613613165E-4</v>
      </c>
    </row>
    <row r="54" spans="1:9" x14ac:dyDescent="0.4">
      <c r="A54" s="1">
        <v>4.9000000000000004</v>
      </c>
      <c r="B54" s="1">
        <f>_xlfn.NORM.S.DIST(((A54)-'1_全壊率'!$H$3)/'1_全壊率'!$I$3, TRUE)</f>
        <v>1.1061274450518632E-6</v>
      </c>
      <c r="C54" s="1">
        <f>_xlfn.NORM.S.DIST(((A54)-'2_全半壊率'!$H$3)/'2_全半壊率'!$I$3, TRUE)</f>
        <v>3.001027555880948E-5</v>
      </c>
      <c r="D54" s="1">
        <f>_xlfn.NORM.S.DIST(((A54)-'3_一部損壊以上率'!$H$3)/'3_一部損壊以上率'!$I$3, TRUE)</f>
        <v>5.7740591414314722E-3</v>
      </c>
      <c r="E54" s="1">
        <f t="shared" si="2"/>
        <v>1.1061274450518632E-6</v>
      </c>
      <c r="F54" s="1">
        <f t="shared" si="3"/>
        <v>2.8904148113757617E-5</v>
      </c>
      <c r="G54" s="1">
        <f t="shared" si="0"/>
        <v>5.7440488658726625E-3</v>
      </c>
      <c r="H54" s="1">
        <f t="shared" si="1"/>
        <v>0.99422594085856852</v>
      </c>
      <c r="I54" s="1">
        <f t="shared" si="4"/>
        <v>3.1432230404106686E-4</v>
      </c>
    </row>
    <row r="55" spans="1:9" x14ac:dyDescent="0.4">
      <c r="A55" s="1">
        <v>5</v>
      </c>
      <c r="B55" s="1">
        <f>_xlfn.NORM.S.DIST(((A55)-'1_全壊率'!$H$3)/'1_全壊率'!$I$3, TRUE)</f>
        <v>4.2935144699718411E-6</v>
      </c>
      <c r="C55" s="1">
        <f>_xlfn.NORM.S.DIST(((A55)-'2_全半壊率'!$H$3)/'2_全半壊率'!$I$3, TRUE)</f>
        <v>1.0020464618951186E-4</v>
      </c>
      <c r="D55" s="1">
        <f>_xlfn.NORM.S.DIST(((A55)-'3_一部損壊以上率'!$H$3)/'3_一部損壊以上率'!$I$3, TRUE)</f>
        <v>1.0667586088635057E-2</v>
      </c>
      <c r="E55" s="1">
        <f t="shared" si="2"/>
        <v>4.2935144699718411E-6</v>
      </c>
      <c r="F55" s="1">
        <f t="shared" si="3"/>
        <v>9.5911131719540017E-5</v>
      </c>
      <c r="G55" s="1">
        <f t="shared" si="0"/>
        <v>1.0567381442445546E-2</v>
      </c>
      <c r="H55" s="1">
        <f t="shared" si="1"/>
        <v>0.98933241391136495</v>
      </c>
      <c r="I55" s="1">
        <f t="shared" si="4"/>
        <v>6.1898260513983518E-4</v>
      </c>
    </row>
    <row r="56" spans="1:9" x14ac:dyDescent="0.4">
      <c r="A56" s="1">
        <v>5.0999999999999996</v>
      </c>
      <c r="B56" s="1">
        <f>_xlfn.NORM.S.DIST(((A56)-'1_全壊率'!$H$3)/'1_全壊率'!$I$3, TRUE)</f>
        <v>1.5431724891373213E-5</v>
      </c>
      <c r="C56" s="1">
        <f>_xlfn.NORM.S.DIST(((A56)-'2_全半壊率'!$H$3)/'2_全半壊率'!$I$3, TRUE)</f>
        <v>3.0822670565836333E-4</v>
      </c>
      <c r="D56" s="1">
        <f>_xlfn.NORM.S.DIST(((A56)-'3_一部損壊以上率'!$H$3)/'3_一部損壊以上率'!$I$3, TRUE)</f>
        <v>1.8839027367663987E-2</v>
      </c>
      <c r="E56" s="1">
        <f t="shared" si="2"/>
        <v>1.5431724891373213E-5</v>
      </c>
      <c r="F56" s="1">
        <f t="shared" si="3"/>
        <v>2.9279498076699011E-4</v>
      </c>
      <c r="G56" s="1">
        <f t="shared" si="0"/>
        <v>1.8530800662005624E-2</v>
      </c>
      <c r="H56" s="1">
        <f t="shared" si="1"/>
        <v>0.98116097263233604</v>
      </c>
      <c r="I56" s="1">
        <f t="shared" si="4"/>
        <v>1.2054872406819456E-3</v>
      </c>
    </row>
    <row r="57" spans="1:9" x14ac:dyDescent="0.4">
      <c r="A57" s="1">
        <v>5.2</v>
      </c>
      <c r="B57" s="1">
        <f>_xlfn.NORM.S.DIST(((A57)-'1_全壊率'!$H$3)/'1_全壊率'!$I$3, TRUE)</f>
        <v>5.1375953548590587E-5</v>
      </c>
      <c r="C57" s="1">
        <f>_xlfn.NORM.S.DIST(((A57)-'2_全半壊率'!$H$3)/'2_全半壊率'!$I$3, TRUE)</f>
        <v>8.7391250847860201E-4</v>
      </c>
      <c r="D57" s="1">
        <f>_xlfn.NORM.S.DIST(((A57)-'3_一部損壊以上率'!$H$3)/'3_一部損壊以上率'!$I$3, TRUE)</f>
        <v>3.1820968216576109E-2</v>
      </c>
      <c r="E57" s="1">
        <f t="shared" si="2"/>
        <v>5.1375953548590587E-5</v>
      </c>
      <c r="F57" s="1">
        <f t="shared" si="3"/>
        <v>8.2253655493001146E-4</v>
      </c>
      <c r="G57" s="1">
        <f t="shared" si="0"/>
        <v>3.0947055708097509E-2</v>
      </c>
      <c r="H57" s="1">
        <f t="shared" si="1"/>
        <v>0.9681790317834239</v>
      </c>
      <c r="I57" s="1">
        <f t="shared" si="4"/>
        <v>2.3390116383904765E-3</v>
      </c>
    </row>
    <row r="58" spans="1:9" x14ac:dyDescent="0.4">
      <c r="A58" s="1">
        <v>5.3</v>
      </c>
      <c r="B58" s="1">
        <f>_xlfn.NORM.S.DIST(((A58)-'1_全壊率'!$H$3)/'1_全壊率'!$I$3, TRUE)</f>
        <v>1.5849778843208225E-4</v>
      </c>
      <c r="C58" s="1">
        <f>_xlfn.NORM.S.DIST(((A58)-'2_全半壊率'!$H$3)/'2_全半壊率'!$I$3, TRUE)</f>
        <v>2.2854815151071213E-3</v>
      </c>
      <c r="D58" s="1">
        <f>_xlfn.NORM.S.DIST(((A58)-'3_一部損壊以上率'!$H$3)/'3_一部損壊以上率'!$I$3, TRUE)</f>
        <v>5.1443049736089354E-2</v>
      </c>
      <c r="E58" s="1">
        <f t="shared" si="2"/>
        <v>1.5849778843208225E-4</v>
      </c>
      <c r="F58" s="1">
        <f t="shared" si="3"/>
        <v>2.126983726675039E-3</v>
      </c>
      <c r="G58" s="1">
        <f t="shared" si="0"/>
        <v>4.9157568220982231E-2</v>
      </c>
      <c r="H58" s="1">
        <f t="shared" si="1"/>
        <v>0.94855695026391063</v>
      </c>
      <c r="I58" s="1">
        <f t="shared" si="4"/>
        <v>4.5306615534887289E-3</v>
      </c>
    </row>
    <row r="59" spans="1:9" x14ac:dyDescent="0.4">
      <c r="A59" s="1">
        <v>5.4</v>
      </c>
      <c r="B59" s="1">
        <f>_xlfn.NORM.S.DIST(((A59)-'1_全壊率'!$H$3)/'1_全壊率'!$I$3, TRUE)</f>
        <v>4.5332242229965443E-4</v>
      </c>
      <c r="C59" s="1">
        <f>_xlfn.NORM.S.DIST(((A59)-'2_全半壊率'!$H$3)/'2_全半壊率'!$I$3, TRUE)</f>
        <v>5.5176344550723171E-3</v>
      </c>
      <c r="D59" s="1">
        <f>_xlfn.NORM.S.DIST(((A59)-'3_一部損壊以上率'!$H$3)/'3_一部損壊以上率'!$I$3, TRUE)</f>
        <v>7.9660332982883317E-2</v>
      </c>
      <c r="E59" s="1">
        <f t="shared" si="2"/>
        <v>4.5332242229965443E-4</v>
      </c>
      <c r="F59" s="1">
        <f t="shared" si="3"/>
        <v>5.0643120327726627E-3</v>
      </c>
      <c r="G59" s="1">
        <f t="shared" si="0"/>
        <v>7.4142698527810996E-2</v>
      </c>
      <c r="H59" s="1">
        <f t="shared" si="1"/>
        <v>0.92033966701711667</v>
      </c>
      <c r="I59" s="1">
        <f t="shared" si="4"/>
        <v>8.7183381781856008E-3</v>
      </c>
    </row>
    <row r="60" spans="1:9" x14ac:dyDescent="0.4">
      <c r="A60" s="1">
        <v>5.5</v>
      </c>
      <c r="B60" s="1">
        <f>_xlfn.NORM.S.DIST(((A60)-'1_全壊率'!$H$3)/'1_全壊率'!$I$3, TRUE)</f>
        <v>1.202678434591962E-3</v>
      </c>
      <c r="C60" s="1">
        <f>_xlfn.NORM.S.DIST(((A60)-'2_全半壊率'!$H$3)/'2_全半壊率'!$I$3, TRUE)</f>
        <v>1.2308833885808069E-2</v>
      </c>
      <c r="D60" s="1">
        <f>_xlfn.NORM.S.DIST(((A60)-'3_一部損壊以上率'!$H$3)/'3_一部損壊以上率'!$I$3, TRUE)</f>
        <v>0.11826591948905259</v>
      </c>
      <c r="E60" s="1">
        <f t="shared" si="2"/>
        <v>1.202678434591962E-3</v>
      </c>
      <c r="F60" s="1">
        <f t="shared" si="3"/>
        <v>1.1106155451216107E-2</v>
      </c>
      <c r="G60" s="1">
        <f t="shared" si="0"/>
        <v>0.10595708560324452</v>
      </c>
      <c r="H60" s="1">
        <f t="shared" si="1"/>
        <v>0.88173408051094737</v>
      </c>
      <c r="I60" s="1">
        <f t="shared" si="4"/>
        <v>1.6496072620848685E-2</v>
      </c>
    </row>
    <row r="61" spans="1:9" x14ac:dyDescent="0.4">
      <c r="A61" s="1">
        <v>5.6</v>
      </c>
      <c r="B61" s="1">
        <f>_xlfn.NORM.S.DIST(((A61)-'1_全壊率'!$H$3)/'1_全壊率'!$I$3, TRUE)</f>
        <v>2.9616260451524657E-3</v>
      </c>
      <c r="C61" s="1">
        <f>_xlfn.NORM.S.DIST(((A61)-'2_全半壊率'!$H$3)/'2_全半壊率'!$I$3, TRUE)</f>
        <v>2.540268880940498E-2</v>
      </c>
      <c r="D61" s="1">
        <f>_xlfn.NORM.S.DIST(((A61)-'3_一部損壊以上率'!$H$3)/'3_一部損壊以上率'!$I$3, TRUE)</f>
        <v>0.16851754188645707</v>
      </c>
      <c r="E61" s="1">
        <f t="shared" si="2"/>
        <v>2.9616260451524657E-3</v>
      </c>
      <c r="F61" s="1">
        <f t="shared" si="3"/>
        <v>2.2441062764252513E-2</v>
      </c>
      <c r="G61" s="1">
        <f t="shared" si="0"/>
        <v>0.14311485307705207</v>
      </c>
      <c r="H61" s="1">
        <f t="shared" si="1"/>
        <v>0.83148245811354293</v>
      </c>
      <c r="I61" s="1">
        <f t="shared" si="4"/>
        <v>3.0314325186832334E-2</v>
      </c>
    </row>
    <row r="62" spans="1:9" x14ac:dyDescent="0.4">
      <c r="A62" s="1">
        <v>5.7</v>
      </c>
      <c r="B62" s="1">
        <f>_xlfn.NORM.S.DIST(((A62)-'1_全壊率'!$H$3)/'1_全壊率'!$I$3, TRUE)</f>
        <v>6.7745609232903519E-3</v>
      </c>
      <c r="C62" s="1">
        <f>_xlfn.NORM.S.DIST(((A62)-'2_全半壊率'!$H$3)/'2_全半壊率'!$I$3, TRUE)</f>
        <v>4.8568980039872173E-2</v>
      </c>
      <c r="D62" s="1">
        <f>_xlfn.NORM.S.DIST(((A62)-'3_一部損壊以上率'!$H$3)/'3_一部損壊以上率'!$I$3, TRUE)</f>
        <v>0.2307497363046567</v>
      </c>
      <c r="E62" s="1">
        <f t="shared" si="2"/>
        <v>6.7745609232903519E-3</v>
      </c>
      <c r="F62" s="1">
        <f t="shared" si="3"/>
        <v>4.179441911658182E-2</v>
      </c>
      <c r="G62" s="1">
        <f t="shared" si="0"/>
        <v>0.18218075626478453</v>
      </c>
      <c r="H62" s="1">
        <f t="shared" si="1"/>
        <v>0.76925026369534333</v>
      </c>
      <c r="I62" s="1">
        <f t="shared" si="4"/>
        <v>5.3498575941453221E-2</v>
      </c>
    </row>
    <row r="63" spans="1:9" x14ac:dyDescent="0.4">
      <c r="A63" s="1">
        <v>5.8</v>
      </c>
      <c r="B63" s="1">
        <f>_xlfn.NORM.S.DIST(((A63)-'1_全壊率'!$H$3)/'1_全壊率'!$I$3, TRUE)</f>
        <v>1.4407802664058153E-2</v>
      </c>
      <c r="C63" s="1">
        <f>_xlfn.NORM.S.DIST(((A63)-'2_全半壊率'!$H$3)/'2_全半壊率'!$I$3, TRUE)</f>
        <v>8.6179968595334111E-2</v>
      </c>
      <c r="D63" s="1">
        <f>_xlfn.NORM.S.DIST(((A63)-'3_一部損壊以上率'!$H$3)/'3_一部損壊以上率'!$I$3, TRUE)</f>
        <v>0.30407359871377215</v>
      </c>
      <c r="E63" s="1">
        <f t="shared" si="2"/>
        <v>1.4407802664058153E-2</v>
      </c>
      <c r="F63" s="1">
        <f t="shared" si="3"/>
        <v>7.1772165931275958E-2</v>
      </c>
      <c r="G63" s="1">
        <f t="shared" si="0"/>
        <v>0.21789363011843804</v>
      </c>
      <c r="H63" s="1">
        <f t="shared" si="1"/>
        <v>0.69592640128622785</v>
      </c>
      <c r="I63" s="1">
        <f t="shared" si="4"/>
        <v>8.9897433508128427E-2</v>
      </c>
    </row>
    <row r="64" spans="1:9" x14ac:dyDescent="0.4">
      <c r="A64" s="1">
        <v>5.9</v>
      </c>
      <c r="B64" s="1">
        <f>_xlfn.NORM.S.DIST(((A64)-'1_全壊率'!$H$3)/'1_全壊率'!$I$3, TRUE)</f>
        <v>2.852027261649371E-2</v>
      </c>
      <c r="C64" s="1">
        <f>_xlfn.NORM.S.DIST(((A64)-'2_全半壊率'!$H$3)/'2_全半壊率'!$I$3, TRUE)</f>
        <v>0.14221290084660057</v>
      </c>
      <c r="D64" s="1">
        <f>_xlfn.NORM.S.DIST(((A64)-'3_一部損壊以上率'!$H$3)/'3_一部損壊以上率'!$I$3, TRUE)</f>
        <v>0.38626773145756943</v>
      </c>
      <c r="E64" s="1">
        <f t="shared" si="2"/>
        <v>2.852027261649371E-2</v>
      </c>
      <c r="F64" s="1">
        <f t="shared" si="3"/>
        <v>0.11369262823010687</v>
      </c>
      <c r="G64" s="1">
        <f t="shared" si="0"/>
        <v>0.24405483061096886</v>
      </c>
      <c r="H64" s="1">
        <f t="shared" si="1"/>
        <v>0.61373226854243057</v>
      </c>
      <c r="I64" s="1">
        <f t="shared" si="4"/>
        <v>0.14304637955413835</v>
      </c>
    </row>
    <row r="65" spans="1:9" x14ac:dyDescent="0.4">
      <c r="A65" s="1">
        <v>6</v>
      </c>
      <c r="B65" s="1">
        <f>_xlfn.NORM.S.DIST(((A65)-'1_全壊率'!$H$3)/'1_全壊率'!$I$3, TRUE)</f>
        <v>5.2616138454251886E-2</v>
      </c>
      <c r="C65" s="1">
        <f>_xlfn.NORM.S.DIST(((A65)-'2_全半壊率'!$H$3)/'2_全半壊率'!$I$3, TRUE)</f>
        <v>0.21881545304836603</v>
      </c>
      <c r="D65" s="1">
        <f>_xlfn.NORM.S.DIST(((A65)-'3_一部損壊以上率'!$H$3)/'3_一部損壊以上率'!$I$3, TRUE)</f>
        <v>0.47392776204072573</v>
      </c>
      <c r="E65" s="1">
        <f t="shared" si="2"/>
        <v>5.2616138454251886E-2</v>
      </c>
      <c r="F65" s="1">
        <f t="shared" si="3"/>
        <v>0.16619931459411413</v>
      </c>
      <c r="G65" s="1">
        <f t="shared" si="0"/>
        <v>0.2551123089923597</v>
      </c>
      <c r="H65" s="1">
        <f t="shared" si="1"/>
        <v>0.52607223795927427</v>
      </c>
      <c r="I65" s="1">
        <f t="shared" si="4"/>
        <v>0.2149511370385726</v>
      </c>
    </row>
    <row r="66" spans="1:9" x14ac:dyDescent="0.4">
      <c r="A66" s="1">
        <v>6.1</v>
      </c>
      <c r="B66" s="1">
        <f>_xlfn.NORM.S.DIST(((A66)-'1_全壊率'!$H$3)/'1_全壊率'!$I$3, TRUE)</f>
        <v>9.061131841820437E-2</v>
      </c>
      <c r="C66" s="1">
        <f>_xlfn.NORM.S.DIST(((A66)-'2_全半壊率'!$H$3)/'2_全半壊率'!$I$3, TRUE)</f>
        <v>0.31491362893210617</v>
      </c>
      <c r="D66" s="1">
        <f>_xlfn.NORM.S.DIST(((A66)-'3_一部損壊以上率'!$H$3)/'3_一部損壊以上率'!$I$3, TRUE)</f>
        <v>0.56287403688127213</v>
      </c>
      <c r="E66" s="1">
        <f t="shared" si="2"/>
        <v>9.061131841820437E-2</v>
      </c>
      <c r="F66" s="1">
        <f t="shared" si="3"/>
        <v>0.22430231051390181</v>
      </c>
      <c r="G66" s="1">
        <f t="shared" si="0"/>
        <v>0.24796040794916596</v>
      </c>
      <c r="H66" s="1">
        <f t="shared" si="1"/>
        <v>0.43712596311872787</v>
      </c>
      <c r="I66" s="1">
        <f t="shared" si="4"/>
        <v>0.30488141827817433</v>
      </c>
    </row>
    <row r="67" spans="1:9" x14ac:dyDescent="0.4">
      <c r="A67" s="1">
        <v>6.2</v>
      </c>
      <c r="B67" s="1">
        <f>_xlfn.NORM.S.DIST(((A67)-'1_全壊率'!$H$3)/'1_全壊率'!$I$3, TRUE)</f>
        <v>0.14594145856692192</v>
      </c>
      <c r="C67" s="1">
        <f>_xlfn.NORM.S.DIST(((A67)-'2_全半壊率'!$H$3)/'2_全半壊率'!$I$3, TRUE)</f>
        <v>0.42554023614614478</v>
      </c>
      <c r="D67" s="1">
        <f>_xlfn.NORM.S.DIST(((A67)-'3_一部損壊以上率'!$H$3)/'3_一部損壊以上率'!$I$3, TRUE)</f>
        <v>0.64873964753603808</v>
      </c>
      <c r="E67" s="1">
        <f t="shared" si="2"/>
        <v>0.14594145856692192</v>
      </c>
      <c r="F67" s="1">
        <f t="shared" si="3"/>
        <v>0.27959877757922286</v>
      </c>
      <c r="G67" s="1">
        <f t="shared" si="0"/>
        <v>0.2231994113898933</v>
      </c>
      <c r="H67" s="1">
        <f t="shared" si="1"/>
        <v>0.35126035246396192</v>
      </c>
      <c r="I67" s="1">
        <f t="shared" si="4"/>
        <v>0.40874032895771717</v>
      </c>
    </row>
    <row r="68" spans="1:9" x14ac:dyDescent="0.4">
      <c r="A68" s="1">
        <v>6.3</v>
      </c>
      <c r="B68" s="1">
        <f>_xlfn.NORM.S.DIST(((A68)-'1_全壊率'!$H$3)/'1_全壊率'!$I$3, TRUE)</f>
        <v>0.22035346579673698</v>
      </c>
      <c r="C68" s="1">
        <f>_xlfn.NORM.S.DIST(((A68)-'2_全半壊率'!$H$3)/'2_全半壊率'!$I$3, TRUE)</f>
        <v>0.54240320543072018</v>
      </c>
      <c r="D68" s="1">
        <f>_xlfn.NORM.S.DIST(((A68)-'3_一部損壊以上率'!$H$3)/'3_一部損壊以上率'!$I$3, TRUE)</f>
        <v>0.72760315675559462</v>
      </c>
      <c r="E68" s="1">
        <f t="shared" si="2"/>
        <v>0.22035346579673698</v>
      </c>
      <c r="F68" s="1">
        <f t="shared" si="3"/>
        <v>0.3220497396339832</v>
      </c>
      <c r="G68" s="1">
        <f t="shared" si="0"/>
        <v>0.18519995132487443</v>
      </c>
      <c r="H68" s="1">
        <f t="shared" si="1"/>
        <v>0.27239684324440538</v>
      </c>
      <c r="I68" s="1">
        <f t="shared" si="4"/>
        <v>0.51945822903356564</v>
      </c>
    </row>
    <row r="69" spans="1:9" x14ac:dyDescent="0.4">
      <c r="A69" s="1">
        <v>6.4</v>
      </c>
      <c r="B69" s="1">
        <f>_xlfn.NORM.S.DIST(((A69)-'1_全壊率'!$H$3)/'1_全壊率'!$I$3, TRUE)</f>
        <v>0.31277492053570749</v>
      </c>
      <c r="C69" s="1">
        <f>_xlfn.NORM.S.DIST(((A69)-'2_全半壊率'!$H$3)/'2_全半壊率'!$I$3, TRUE)</f>
        <v>0.65568685790985581</v>
      </c>
      <c r="D69" s="1">
        <f>_xlfn.NORM.S.DIST(((A69)-'3_一部損壊以上率'!$H$3)/'3_一部損壊以上率'!$I$3, TRUE)</f>
        <v>0.79651569260901445</v>
      </c>
      <c r="E69" s="1">
        <f t="shared" si="2"/>
        <v>0.31277492053570749</v>
      </c>
      <c r="F69" s="1">
        <f t="shared" si="3"/>
        <v>0.34291193737414832</v>
      </c>
      <c r="G69" s="1">
        <f t="shared" si="0"/>
        <v>0.14082883469915863</v>
      </c>
      <c r="H69" s="1">
        <f t="shared" si="1"/>
        <v>0.20348430739098555</v>
      </c>
      <c r="I69" s="1">
        <f t="shared" si="4"/>
        <v>0.62843710590739887</v>
      </c>
    </row>
    <row r="70" spans="1:9" x14ac:dyDescent="0.4">
      <c r="A70" s="1">
        <v>6.5</v>
      </c>
      <c r="B70" s="1">
        <f>_xlfn.NORM.S.DIST(((A70)-'1_全壊率'!$H$3)/'1_全壊率'!$I$3, TRUE)</f>
        <v>0.41878606251255124</v>
      </c>
      <c r="C70" s="1">
        <f>_xlfn.NORM.S.DIST(((A70)-'2_全半壊率'!$H$3)/'2_全半壊率'!$I$3, TRUE)</f>
        <v>0.75645668170693992</v>
      </c>
      <c r="D70" s="1">
        <f>_xlfn.NORM.S.DIST(((A70)-'3_一部損壊以上率'!$H$3)/'3_一部損壊以上率'!$I$3, TRUE)</f>
        <v>0.85380658694209521</v>
      </c>
      <c r="E70" s="1">
        <f t="shared" si="2"/>
        <v>0.41878606251255124</v>
      </c>
      <c r="F70" s="1">
        <f t="shared" si="3"/>
        <v>0.33767061919438868</v>
      </c>
      <c r="G70" s="1">
        <f>D70-C70</f>
        <v>9.7349905235155298E-2</v>
      </c>
      <c r="H70" s="1">
        <f>1-D70</f>
        <v>0.14619341305790479</v>
      </c>
      <c r="I70" s="1">
        <f t="shared" si="4"/>
        <v>0.7275571150492588</v>
      </c>
    </row>
    <row r="71" spans="1:9" x14ac:dyDescent="0.4">
      <c r="A71" s="1">
        <v>6.6</v>
      </c>
      <c r="B71" s="1">
        <f>_xlfn.NORM.S.DIST(((A71)-'1_全壊率'!$H$3)/'1_全壊率'!$I$3, TRUE)</f>
        <v>0.53108597350302367</v>
      </c>
      <c r="C71" s="1">
        <f>_xlfn.NORM.S.DIST(((A71)-'2_全半壊率'!$H$3)/'2_全半壊率'!$I$3, TRUE)</f>
        <v>0.83871245905948577</v>
      </c>
      <c r="D71" s="1">
        <f>_xlfn.NORM.S.DIST(((A71)-'3_一部損壊以上率'!$H$3)/'3_一部損壊以上率'!$I$3, TRUE)</f>
        <v>0.8991211843442628</v>
      </c>
      <c r="E71" s="1">
        <f t="shared" ref="E71:E75" si="5">B71</f>
        <v>0.53108597350302367</v>
      </c>
      <c r="F71" s="1">
        <f t="shared" ref="F71:F75" si="6">C71-B71</f>
        <v>0.3076264855564621</v>
      </c>
      <c r="G71" s="1">
        <f t="shared" ref="G71:G75" si="7">D71-C71</f>
        <v>6.0408725284777032E-2</v>
      </c>
      <c r="H71" s="1">
        <f t="shared" ref="H71:H75" si="8">1-D71</f>
        <v>0.1008788156557372</v>
      </c>
      <c r="I71" s="1">
        <f t="shared" ref="I71:I75" si="9">E71*$B$3+F71*$C$3+G71*$D$3+H71*0</f>
        <v>0.8109702467680785</v>
      </c>
    </row>
    <row r="72" spans="1:9" x14ac:dyDescent="0.4">
      <c r="A72" s="1">
        <v>6.7</v>
      </c>
      <c r="B72" s="1">
        <f>_xlfn.NORM.S.DIST(((A72)-'1_全壊率'!$H$3)/'1_全壊率'!$I$3, TRUE)</f>
        <v>0.64095027646522917</v>
      </c>
      <c r="C72" s="1">
        <f>_xlfn.NORM.S.DIST(((A72)-'2_全半壊率'!$H$3)/'2_全半壊率'!$I$3, TRUE)</f>
        <v>0.90032576387272645</v>
      </c>
      <c r="D72" s="1">
        <f>_xlfn.NORM.S.DIST(((A72)-'3_一部損壊以上率'!$H$3)/'3_一部損壊以上率'!$I$3, TRUE)</f>
        <v>0.93322128790098724</v>
      </c>
      <c r="E72" s="1">
        <f t="shared" si="5"/>
        <v>0.64095027646522917</v>
      </c>
      <c r="F72" s="1">
        <f t="shared" si="6"/>
        <v>0.25937548740749727</v>
      </c>
      <c r="G72" s="1">
        <f t="shared" si="7"/>
        <v>3.2895524028260792E-2</v>
      </c>
      <c r="H72" s="1">
        <f t="shared" si="8"/>
        <v>6.677871209901276E-2</v>
      </c>
      <c r="I72" s="1">
        <f t="shared" si="9"/>
        <v>0.87603299133338974</v>
      </c>
    </row>
    <row r="73" spans="1:9" x14ac:dyDescent="0.4">
      <c r="A73" s="1">
        <v>6.8</v>
      </c>
      <c r="B73" s="1">
        <f>_xlfn.NORM.S.DIST(((A73)-'1_全壊率'!$H$3)/'1_全壊率'!$I$3, TRUE)</f>
        <v>0.7402122830033202</v>
      </c>
      <c r="C73" s="1">
        <f>_xlfn.NORM.S.DIST(((A73)-'2_全半壊率'!$H$3)/'2_全半壊率'!$I$3, TRUE)</f>
        <v>0.94267583123909593</v>
      </c>
      <c r="D73" s="1">
        <f>_xlfn.NORM.S.DIST(((A73)-'3_一部損壊以上率'!$H$3)/'3_一部損壊以上率'!$I$3, TRUE)</f>
        <v>0.95763524572602021</v>
      </c>
      <c r="E73" s="1">
        <f t="shared" si="5"/>
        <v>0.7402122830033202</v>
      </c>
      <c r="F73" s="1">
        <f t="shared" si="6"/>
        <v>0.20246354823577573</v>
      </c>
      <c r="G73" s="1">
        <f t="shared" si="7"/>
        <v>1.4959414486924283E-2</v>
      </c>
      <c r="H73" s="1">
        <f t="shared" si="8"/>
        <v>4.2364754273979788E-2</v>
      </c>
      <c r="I73" s="1">
        <f t="shared" si="9"/>
        <v>0.92317744713986449</v>
      </c>
    </row>
    <row r="74" spans="1:9" x14ac:dyDescent="0.4">
      <c r="A74" s="1">
        <v>6.9</v>
      </c>
      <c r="B74" s="1">
        <f>_xlfn.NORM.S.DIST(((A74)-'1_全壊率'!$H$3)/'1_全壊率'!$I$3, TRUE)</f>
        <v>0.82303673285858259</v>
      </c>
      <c r="C74" s="1">
        <f>_xlfn.NORM.S.DIST(((A74)-'2_全半壊率'!$H$3)/'2_全半壊率'!$I$3, TRUE)</f>
        <v>0.96938770453277645</v>
      </c>
      <c r="D74" s="1">
        <f>_xlfn.NORM.S.DIST(((A74)-'3_一部損壊以上率'!$H$3)/'3_一部損壊以上率'!$I$3, TRUE)</f>
        <v>0.97426498545966178</v>
      </c>
      <c r="E74" s="1">
        <f t="shared" si="5"/>
        <v>0.82303673285858259</v>
      </c>
      <c r="F74" s="1">
        <f t="shared" si="6"/>
        <v>0.14635097167419386</v>
      </c>
      <c r="G74" s="1">
        <f t="shared" si="7"/>
        <v>4.8772809268853301E-3</v>
      </c>
      <c r="H74" s="1">
        <f t="shared" si="8"/>
        <v>2.5735014540338219E-2</v>
      </c>
      <c r="I74" s="1">
        <f t="shared" si="9"/>
        <v>0.9549964714117013</v>
      </c>
    </row>
    <row r="75" spans="1:9" x14ac:dyDescent="0.4">
      <c r="A75" s="1">
        <v>7</v>
      </c>
      <c r="B75" s="1">
        <f>_xlfn.NORM.S.DIST(((A75)-'1_全壊率'!$H$3)/'1_全壊率'!$I$3, TRUE)</f>
        <v>0.88686055355602245</v>
      </c>
      <c r="C75" s="1">
        <f>_xlfn.NORM.S.DIST(((A75)-'2_全半壊率'!$H$3)/'2_全半壊率'!$I$3, TRUE)</f>
        <v>0.98484822689333462</v>
      </c>
      <c r="D75" s="1">
        <f>_xlfn.NORM.S.DIST(((A75)-'3_一部損壊以上率'!$H$3)/'3_一部損壊以上率'!$I$3, TRUE)</f>
        <v>0.98504197131713256</v>
      </c>
      <c r="E75" s="1">
        <f t="shared" si="5"/>
        <v>0.88686055355602245</v>
      </c>
      <c r="F75" s="1">
        <f t="shared" si="6"/>
        <v>9.7987673337312176E-2</v>
      </c>
      <c r="G75" s="1">
        <f t="shared" si="7"/>
        <v>1.9374442379793688E-4</v>
      </c>
      <c r="H75" s="1">
        <f t="shared" si="8"/>
        <v>1.4958028682867441E-2</v>
      </c>
      <c r="I75" s="1">
        <f t="shared" si="9"/>
        <v>0.97505914678079331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データ</vt:lpstr>
      <vt:lpstr>1_全壊率</vt:lpstr>
      <vt:lpstr>2_全半壊率</vt:lpstr>
      <vt:lpstr>3_一部損壊以上率</vt:lpstr>
      <vt:lpstr>4_フラジリティ曲線</vt:lpstr>
      <vt:lpstr>5_損失率曲線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伊藤竜平_A6Y42</dc:creator>
  <cp:lastModifiedBy>伊藤竜平_A6Y42</cp:lastModifiedBy>
  <dcterms:created xsi:type="dcterms:W3CDTF">2025-07-16T05:21:48Z</dcterms:created>
  <dcterms:modified xsi:type="dcterms:W3CDTF">2025-10-09T07:37:06Z</dcterms:modified>
</cp:coreProperties>
</file>